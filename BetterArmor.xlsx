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3750" windowHeight="7875"/>
  </bookViews>
  <sheets>
    <sheet name="ArmorClass Calculation" sheetId="1" r:id="rId1"/>
    <sheet name="Other" sheetId="2" r:id="rId2"/>
    <sheet name="Tabelle3" sheetId="3" r:id="rId3"/>
  </sheets>
  <calcPr calcId="145621"/>
</workbook>
</file>

<file path=xl/calcChain.xml><?xml version="1.0" encoding="utf-8"?>
<calcChain xmlns="http://schemas.openxmlformats.org/spreadsheetml/2006/main">
  <c r="D55" i="2" l="1"/>
  <c r="D56" i="2"/>
  <c r="D57" i="2"/>
  <c r="D54" i="2"/>
  <c r="F6" i="2"/>
  <c r="G6" i="2" s="1"/>
  <c r="C34" i="2"/>
  <c r="D44" i="2"/>
  <c r="D45" i="2"/>
  <c r="D46" i="2"/>
  <c r="E46" i="2" s="1"/>
  <c r="D47" i="2"/>
  <c r="E44" i="2"/>
  <c r="E47" i="2"/>
  <c r="D43" i="2"/>
  <c r="E43" i="2" s="1"/>
  <c r="E45" i="2"/>
  <c r="F23" i="2" l="1"/>
  <c r="G23" i="2" s="1"/>
  <c r="F22" i="2"/>
  <c r="G22" i="2" s="1"/>
  <c r="F21" i="2"/>
  <c r="G21" i="2" s="1"/>
  <c r="F20" i="2"/>
  <c r="G20" i="2" s="1"/>
  <c r="F19" i="2"/>
  <c r="G19" i="2" s="1"/>
  <c r="F3" i="2"/>
  <c r="G3" i="2" s="1"/>
  <c r="F4" i="2"/>
  <c r="G4" i="2" s="1"/>
  <c r="F5" i="2"/>
  <c r="G5" i="2" s="1"/>
  <c r="F12" i="2"/>
  <c r="G12" i="2" s="1"/>
  <c r="F13" i="2"/>
  <c r="G13" i="2" s="1"/>
  <c r="F14" i="2"/>
  <c r="G14" i="2" s="1"/>
  <c r="C31" i="2"/>
  <c r="C32" i="2"/>
  <c r="C33" i="2"/>
  <c r="D36" i="1" l="1"/>
  <c r="E24" i="1" s="1"/>
  <c r="E36" i="1" s="1"/>
  <c r="D37" i="1"/>
  <c r="L25" i="1" s="1"/>
  <c r="L37" i="1" s="1"/>
  <c r="D38" i="1"/>
  <c r="G26" i="1" s="1"/>
  <c r="G38" i="1" s="1"/>
  <c r="D39" i="1"/>
  <c r="N27" i="1" s="1"/>
  <c r="N39" i="1" s="1"/>
  <c r="D35" i="1"/>
  <c r="J23" i="1" s="1"/>
  <c r="J35" i="1" s="1"/>
  <c r="D41" i="1"/>
  <c r="AL51" i="1" s="1"/>
  <c r="AL41" i="1" s="1"/>
  <c r="AS23" i="1" l="1"/>
  <c r="AS35" i="1" s="1"/>
  <c r="AG23" i="1"/>
  <c r="AG35" i="1" s="1"/>
  <c r="U23" i="1"/>
  <c r="U35" i="1" s="1"/>
  <c r="I23" i="1"/>
  <c r="I35" i="1" s="1"/>
  <c r="AK27" i="1"/>
  <c r="AK39" i="1" s="1"/>
  <c r="Y27" i="1"/>
  <c r="Y39" i="1" s="1"/>
  <c r="M27" i="1"/>
  <c r="M39" i="1" s="1"/>
  <c r="AP26" i="1"/>
  <c r="AP38" i="1" s="1"/>
  <c r="AD26" i="1"/>
  <c r="AD38" i="1" s="1"/>
  <c r="R26" i="1"/>
  <c r="R38" i="1" s="1"/>
  <c r="F26" i="1"/>
  <c r="F38" i="1" s="1"/>
  <c r="AI25" i="1"/>
  <c r="AI37" i="1" s="1"/>
  <c r="W25" i="1"/>
  <c r="W37" i="1" s="1"/>
  <c r="K25" i="1"/>
  <c r="K37" i="1" s="1"/>
  <c r="AN24" i="1"/>
  <c r="AN36" i="1" s="1"/>
  <c r="AB24" i="1"/>
  <c r="AB36" i="1" s="1"/>
  <c r="P24" i="1"/>
  <c r="P36" i="1" s="1"/>
  <c r="AR23" i="1"/>
  <c r="AR35" i="1" s="1"/>
  <c r="AF23" i="1"/>
  <c r="AF35" i="1" s="1"/>
  <c r="T23" i="1"/>
  <c r="T35" i="1" s="1"/>
  <c r="H23" i="1"/>
  <c r="H35" i="1" s="1"/>
  <c r="AJ27" i="1"/>
  <c r="AJ39" i="1" s="1"/>
  <c r="X27" i="1"/>
  <c r="X39" i="1" s="1"/>
  <c r="L27" i="1"/>
  <c r="L39" i="1" s="1"/>
  <c r="AO26" i="1"/>
  <c r="AO38" i="1" s="1"/>
  <c r="AC26" i="1"/>
  <c r="AC38" i="1" s="1"/>
  <c r="Q26" i="1"/>
  <c r="Q38" i="1" s="1"/>
  <c r="E26" i="1"/>
  <c r="E38" i="1" s="1"/>
  <c r="AH25" i="1"/>
  <c r="AH37" i="1" s="1"/>
  <c r="V25" i="1"/>
  <c r="V37" i="1" s="1"/>
  <c r="J25" i="1"/>
  <c r="J37" i="1" s="1"/>
  <c r="AM24" i="1"/>
  <c r="AM36" i="1" s="1"/>
  <c r="AA24" i="1"/>
  <c r="AA36" i="1" s="1"/>
  <c r="O24" i="1"/>
  <c r="O36" i="1" s="1"/>
  <c r="AS51" i="1"/>
  <c r="AS41" i="1" s="1"/>
  <c r="AP23" i="1"/>
  <c r="AP35" i="1" s="1"/>
  <c r="AD23" i="1"/>
  <c r="AD35" i="1" s="1"/>
  <c r="R23" i="1"/>
  <c r="R35" i="1" s="1"/>
  <c r="F23" i="1"/>
  <c r="F35" i="1" s="1"/>
  <c r="AH27" i="1"/>
  <c r="AH39" i="1" s="1"/>
  <c r="V27" i="1"/>
  <c r="V39" i="1" s="1"/>
  <c r="J27" i="1"/>
  <c r="J39" i="1" s="1"/>
  <c r="AM26" i="1"/>
  <c r="AM38" i="1" s="1"/>
  <c r="AA26" i="1"/>
  <c r="AA38" i="1" s="1"/>
  <c r="O26" i="1"/>
  <c r="O38" i="1" s="1"/>
  <c r="AR25" i="1"/>
  <c r="AR37" i="1" s="1"/>
  <c r="AF25" i="1"/>
  <c r="AF37" i="1" s="1"/>
  <c r="T25" i="1"/>
  <c r="T37" i="1" s="1"/>
  <c r="H25" i="1"/>
  <c r="H37" i="1" s="1"/>
  <c r="AK24" i="1"/>
  <c r="AK36" i="1" s="1"/>
  <c r="Y24" i="1"/>
  <c r="Y36" i="1" s="1"/>
  <c r="M24" i="1"/>
  <c r="M36" i="1" s="1"/>
  <c r="AO23" i="1"/>
  <c r="AO35" i="1" s="1"/>
  <c r="AC23" i="1"/>
  <c r="AC35" i="1" s="1"/>
  <c r="Q23" i="1"/>
  <c r="Q35" i="1" s="1"/>
  <c r="AS27" i="1"/>
  <c r="AS39" i="1" s="1"/>
  <c r="AG27" i="1"/>
  <c r="AG39" i="1" s="1"/>
  <c r="U27" i="1"/>
  <c r="U39" i="1" s="1"/>
  <c r="I27" i="1"/>
  <c r="I39" i="1" s="1"/>
  <c r="AL26" i="1"/>
  <c r="AL38" i="1" s="1"/>
  <c r="Z26" i="1"/>
  <c r="Z38" i="1" s="1"/>
  <c r="N26" i="1"/>
  <c r="N38" i="1" s="1"/>
  <c r="AQ25" i="1"/>
  <c r="AQ37" i="1" s="1"/>
  <c r="AE25" i="1"/>
  <c r="AE37" i="1" s="1"/>
  <c r="S25" i="1"/>
  <c r="S37" i="1" s="1"/>
  <c r="G25" i="1"/>
  <c r="G37" i="1" s="1"/>
  <c r="AJ24" i="1"/>
  <c r="AJ36" i="1" s="1"/>
  <c r="X24" i="1"/>
  <c r="X36" i="1" s="1"/>
  <c r="L24" i="1"/>
  <c r="L36" i="1" s="1"/>
  <c r="AN23" i="1"/>
  <c r="AN35" i="1" s="1"/>
  <c r="AB23" i="1"/>
  <c r="AB35" i="1" s="1"/>
  <c r="P23" i="1"/>
  <c r="P35" i="1" s="1"/>
  <c r="AR27" i="1"/>
  <c r="AR39" i="1" s="1"/>
  <c r="AF27" i="1"/>
  <c r="AF39" i="1" s="1"/>
  <c r="T27" i="1"/>
  <c r="T39" i="1" s="1"/>
  <c r="H27" i="1"/>
  <c r="H39" i="1" s="1"/>
  <c r="AK26" i="1"/>
  <c r="AK38" i="1" s="1"/>
  <c r="Y26" i="1"/>
  <c r="Y38" i="1" s="1"/>
  <c r="M26" i="1"/>
  <c r="M38" i="1" s="1"/>
  <c r="AP25" i="1"/>
  <c r="AP37" i="1" s="1"/>
  <c r="AD25" i="1"/>
  <c r="AD37" i="1" s="1"/>
  <c r="R25" i="1"/>
  <c r="R37" i="1" s="1"/>
  <c r="F25" i="1"/>
  <c r="F37" i="1" s="1"/>
  <c r="AI24" i="1"/>
  <c r="AI36" i="1" s="1"/>
  <c r="W24" i="1"/>
  <c r="W36" i="1" s="1"/>
  <c r="K24" i="1"/>
  <c r="K36" i="1" s="1"/>
  <c r="AE23" i="1"/>
  <c r="AE35" i="1" s="1"/>
  <c r="W27" i="1"/>
  <c r="W39" i="1" s="1"/>
  <c r="AB26" i="1"/>
  <c r="AB38" i="1" s="1"/>
  <c r="AG25" i="1"/>
  <c r="AG37" i="1" s="1"/>
  <c r="N24" i="1"/>
  <c r="N36" i="1" s="1"/>
  <c r="AM23" i="1"/>
  <c r="AM35" i="1" s="1"/>
  <c r="AA23" i="1"/>
  <c r="AA35" i="1" s="1"/>
  <c r="O23" i="1"/>
  <c r="O35" i="1" s="1"/>
  <c r="AQ27" i="1"/>
  <c r="AQ39" i="1" s="1"/>
  <c r="AE27" i="1"/>
  <c r="AE39" i="1" s="1"/>
  <c r="S27" i="1"/>
  <c r="S39" i="1" s="1"/>
  <c r="G27" i="1"/>
  <c r="G39" i="1" s="1"/>
  <c r="AJ26" i="1"/>
  <c r="AJ38" i="1" s="1"/>
  <c r="X26" i="1"/>
  <c r="X38" i="1" s="1"/>
  <c r="L26" i="1"/>
  <c r="L38" i="1" s="1"/>
  <c r="AO25" i="1"/>
  <c r="AO37" i="1" s="1"/>
  <c r="AC25" i="1"/>
  <c r="AC37" i="1" s="1"/>
  <c r="Q25" i="1"/>
  <c r="Q37" i="1" s="1"/>
  <c r="E25" i="1"/>
  <c r="E37" i="1" s="1"/>
  <c r="AH24" i="1"/>
  <c r="AH36" i="1" s="1"/>
  <c r="V24" i="1"/>
  <c r="V36" i="1" s="1"/>
  <c r="J24" i="1"/>
  <c r="J36" i="1" s="1"/>
  <c r="G23" i="1"/>
  <c r="G35" i="1" s="1"/>
  <c r="AS25" i="1"/>
  <c r="AS37" i="1" s="1"/>
  <c r="AL24" i="1"/>
  <c r="AL36" i="1" s="1"/>
  <c r="AQ51" i="1"/>
  <c r="AQ41" i="1" s="1"/>
  <c r="AP51" i="1"/>
  <c r="AP41" i="1" s="1"/>
  <c r="AO51" i="1"/>
  <c r="AO41" i="1" s="1"/>
  <c r="AL23" i="1"/>
  <c r="AL35" i="1" s="1"/>
  <c r="Z23" i="1"/>
  <c r="Z35" i="1" s="1"/>
  <c r="N23" i="1"/>
  <c r="N35" i="1" s="1"/>
  <c r="AP27" i="1"/>
  <c r="AP39" i="1" s="1"/>
  <c r="AD27" i="1"/>
  <c r="AD39" i="1" s="1"/>
  <c r="R27" i="1"/>
  <c r="R39" i="1" s="1"/>
  <c r="F27" i="1"/>
  <c r="F39" i="1" s="1"/>
  <c r="AI26" i="1"/>
  <c r="AI38" i="1" s="1"/>
  <c r="W26" i="1"/>
  <c r="W38" i="1" s="1"/>
  <c r="K26" i="1"/>
  <c r="K38" i="1" s="1"/>
  <c r="AN25" i="1"/>
  <c r="AN37" i="1" s="1"/>
  <c r="AB25" i="1"/>
  <c r="AB37" i="1" s="1"/>
  <c r="P25" i="1"/>
  <c r="P37" i="1" s="1"/>
  <c r="AS24" i="1"/>
  <c r="AS36" i="1" s="1"/>
  <c r="AG24" i="1"/>
  <c r="AG36" i="1" s="1"/>
  <c r="U24" i="1"/>
  <c r="U36" i="1" s="1"/>
  <c r="I24" i="1"/>
  <c r="I36" i="1" s="1"/>
  <c r="AQ23" i="1"/>
  <c r="AQ35" i="1" s="1"/>
  <c r="K27" i="1"/>
  <c r="K39" i="1" s="1"/>
  <c r="I25" i="1"/>
  <c r="I37" i="1" s="1"/>
  <c r="AR51" i="1"/>
  <c r="AR41" i="1" s="1"/>
  <c r="AN51" i="1"/>
  <c r="AN41" i="1" s="1"/>
  <c r="AK23" i="1"/>
  <c r="AK35" i="1" s="1"/>
  <c r="Y23" i="1"/>
  <c r="Y35" i="1" s="1"/>
  <c r="M23" i="1"/>
  <c r="M35" i="1" s="1"/>
  <c r="AO27" i="1"/>
  <c r="AO39" i="1" s="1"/>
  <c r="AC27" i="1"/>
  <c r="AC39" i="1" s="1"/>
  <c r="Q27" i="1"/>
  <c r="Q39" i="1" s="1"/>
  <c r="E27" i="1"/>
  <c r="E39" i="1" s="1"/>
  <c r="AH26" i="1"/>
  <c r="AH38" i="1" s="1"/>
  <c r="V26" i="1"/>
  <c r="V38" i="1" s="1"/>
  <c r="J26" i="1"/>
  <c r="J38" i="1" s="1"/>
  <c r="AM25" i="1"/>
  <c r="AM37" i="1" s="1"/>
  <c r="AA25" i="1"/>
  <c r="AA37" i="1" s="1"/>
  <c r="O25" i="1"/>
  <c r="O37" i="1" s="1"/>
  <c r="AR24" i="1"/>
  <c r="AR36" i="1" s="1"/>
  <c r="AF24" i="1"/>
  <c r="AF36" i="1" s="1"/>
  <c r="T24" i="1"/>
  <c r="T36" i="1" s="1"/>
  <c r="H24" i="1"/>
  <c r="H36" i="1" s="1"/>
  <c r="AI27" i="1"/>
  <c r="AI39" i="1" s="1"/>
  <c r="P26" i="1"/>
  <c r="P38" i="1" s="1"/>
  <c r="U25" i="1"/>
  <c r="U37" i="1" s="1"/>
  <c r="AM51" i="1"/>
  <c r="AM41" i="1" s="1"/>
  <c r="AJ23" i="1"/>
  <c r="AJ35" i="1" s="1"/>
  <c r="X23" i="1"/>
  <c r="X35" i="1" s="1"/>
  <c r="L23" i="1"/>
  <c r="L35" i="1" s="1"/>
  <c r="AN27" i="1"/>
  <c r="AN39" i="1" s="1"/>
  <c r="AB27" i="1"/>
  <c r="AB39" i="1" s="1"/>
  <c r="P27" i="1"/>
  <c r="P39" i="1" s="1"/>
  <c r="AS26" i="1"/>
  <c r="AS38" i="1" s="1"/>
  <c r="AG26" i="1"/>
  <c r="AG38" i="1" s="1"/>
  <c r="U26" i="1"/>
  <c r="U38" i="1" s="1"/>
  <c r="I26" i="1"/>
  <c r="I38" i="1" s="1"/>
  <c r="AL25" i="1"/>
  <c r="AL37" i="1" s="1"/>
  <c r="Z25" i="1"/>
  <c r="Z37" i="1" s="1"/>
  <c r="N25" i="1"/>
  <c r="N37" i="1" s="1"/>
  <c r="AQ24" i="1"/>
  <c r="AQ36" i="1" s="1"/>
  <c r="AE24" i="1"/>
  <c r="AE36" i="1" s="1"/>
  <c r="S24" i="1"/>
  <c r="S36" i="1" s="1"/>
  <c r="G24" i="1"/>
  <c r="G36" i="1" s="1"/>
  <c r="AI23" i="1"/>
  <c r="AI35" i="1" s="1"/>
  <c r="W23" i="1"/>
  <c r="W35" i="1" s="1"/>
  <c r="K23" i="1"/>
  <c r="K35" i="1" s="1"/>
  <c r="AM27" i="1"/>
  <c r="AM39" i="1" s="1"/>
  <c r="AA27" i="1"/>
  <c r="AA39" i="1" s="1"/>
  <c r="O27" i="1"/>
  <c r="O39" i="1" s="1"/>
  <c r="AR26" i="1"/>
  <c r="AR38" i="1" s="1"/>
  <c r="AF26" i="1"/>
  <c r="AF38" i="1" s="1"/>
  <c r="T26" i="1"/>
  <c r="T38" i="1" s="1"/>
  <c r="H26" i="1"/>
  <c r="H38" i="1" s="1"/>
  <c r="AK25" i="1"/>
  <c r="AK37" i="1" s="1"/>
  <c r="Y25" i="1"/>
  <c r="Y37" i="1" s="1"/>
  <c r="M25" i="1"/>
  <c r="M37" i="1" s="1"/>
  <c r="AP24" i="1"/>
  <c r="AP36" i="1" s="1"/>
  <c r="AD24" i="1"/>
  <c r="AD36" i="1" s="1"/>
  <c r="R24" i="1"/>
  <c r="R36" i="1" s="1"/>
  <c r="F24" i="1"/>
  <c r="F36" i="1" s="1"/>
  <c r="S23" i="1"/>
  <c r="S35" i="1" s="1"/>
  <c r="AN26" i="1"/>
  <c r="AN38" i="1" s="1"/>
  <c r="Z24" i="1"/>
  <c r="Z36" i="1" s="1"/>
  <c r="E23" i="1"/>
  <c r="AH23" i="1"/>
  <c r="AH35" i="1" s="1"/>
  <c r="V23" i="1"/>
  <c r="V35" i="1" s="1"/>
  <c r="AL27" i="1"/>
  <c r="AL39" i="1" s="1"/>
  <c r="Z27" i="1"/>
  <c r="Z39" i="1" s="1"/>
  <c r="AQ26" i="1"/>
  <c r="AQ38" i="1" s="1"/>
  <c r="AE26" i="1"/>
  <c r="AE38" i="1" s="1"/>
  <c r="S26" i="1"/>
  <c r="S38" i="1" s="1"/>
  <c r="AJ25" i="1"/>
  <c r="AJ37" i="1" s="1"/>
  <c r="X25" i="1"/>
  <c r="X37" i="1" s="1"/>
  <c r="AO24" i="1"/>
  <c r="AO36" i="1" s="1"/>
  <c r="AC24" i="1"/>
  <c r="AC36" i="1" s="1"/>
  <c r="Q24" i="1"/>
  <c r="Q36" i="1" s="1"/>
  <c r="AB51" i="1"/>
  <c r="AB41" i="1" s="1"/>
  <c r="I51" i="1"/>
  <c r="I41" i="1" s="1"/>
  <c r="AJ51" i="1"/>
  <c r="AJ41" i="1" s="1"/>
  <c r="E51" i="1"/>
  <c r="E41" i="1" s="1"/>
  <c r="W51" i="1"/>
  <c r="W41" i="1" s="1"/>
  <c r="O51" i="1"/>
  <c r="O41" i="1" s="1"/>
  <c r="Q51" i="1"/>
  <c r="Q41" i="1" s="1"/>
  <c r="K51" i="1"/>
  <c r="K41" i="1" s="1"/>
  <c r="U51" i="1"/>
  <c r="U41" i="1" s="1"/>
  <c r="R51" i="1"/>
  <c r="R41" i="1" s="1"/>
  <c r="T51" i="1"/>
  <c r="T41" i="1" s="1"/>
  <c r="AF51" i="1"/>
  <c r="AF41" i="1" s="1"/>
  <c r="N51" i="1"/>
  <c r="N41" i="1" s="1"/>
  <c r="M51" i="1"/>
  <c r="M41" i="1" s="1"/>
  <c r="AE51" i="1"/>
  <c r="AE41" i="1" s="1"/>
  <c r="AH51" i="1"/>
  <c r="AH41" i="1" s="1"/>
  <c r="E35" i="1"/>
  <c r="S51" i="1"/>
  <c r="S41" i="1" s="1"/>
  <c r="L51" i="1"/>
  <c r="L41" i="1" s="1"/>
  <c r="AD51" i="1"/>
  <c r="AD41" i="1" s="1"/>
  <c r="AI51" i="1"/>
  <c r="AI41" i="1" s="1"/>
  <c r="J51" i="1"/>
  <c r="J41" i="1" s="1"/>
  <c r="AC51" i="1"/>
  <c r="AC41" i="1" s="1"/>
  <c r="AK51" i="1"/>
  <c r="AK41" i="1" s="1"/>
  <c r="AA51" i="1"/>
  <c r="AA41" i="1" s="1"/>
  <c r="G51" i="1"/>
  <c r="G41" i="1" s="1"/>
  <c r="Y51" i="1"/>
  <c r="Y41" i="1" s="1"/>
  <c r="H51" i="1"/>
  <c r="H41" i="1" s="1"/>
  <c r="X51" i="1"/>
  <c r="X41" i="1" s="1"/>
  <c r="V51" i="1"/>
  <c r="V41" i="1" s="1"/>
  <c r="P51" i="1"/>
  <c r="P41" i="1" s="1"/>
  <c r="F51" i="1"/>
  <c r="F41" i="1" s="1"/>
  <c r="Z51" i="1"/>
  <c r="Z41" i="1" s="1"/>
  <c r="AG51" i="1"/>
  <c r="AG41" i="1" s="1"/>
  <c r="D42" i="1"/>
  <c r="D43" i="1"/>
  <c r="D44" i="1"/>
  <c r="D45" i="1"/>
  <c r="B41" i="1"/>
  <c r="B42" i="1"/>
  <c r="B45" i="1"/>
  <c r="B43" i="1"/>
  <c r="B44" i="1"/>
  <c r="AO55" i="1" l="1"/>
  <c r="AO45" i="1" s="1"/>
  <c r="AP55" i="1"/>
  <c r="AP45" i="1" s="1"/>
  <c r="AQ55" i="1"/>
  <c r="AQ45" i="1" s="1"/>
  <c r="AR55" i="1"/>
  <c r="AR45" i="1" s="1"/>
  <c r="AS55" i="1"/>
  <c r="AS45" i="1" s="1"/>
  <c r="AL55" i="1"/>
  <c r="AL45" i="1" s="1"/>
  <c r="AM55" i="1"/>
  <c r="AM45" i="1" s="1"/>
  <c r="AN55" i="1"/>
  <c r="AN45" i="1" s="1"/>
  <c r="AL54" i="1"/>
  <c r="AL44" i="1" s="1"/>
  <c r="AM54" i="1"/>
  <c r="AM44" i="1" s="1"/>
  <c r="AP54" i="1"/>
  <c r="AP44" i="1" s="1"/>
  <c r="AR54" i="1"/>
  <c r="AR44" i="1" s="1"/>
  <c r="AN54" i="1"/>
  <c r="AN44" i="1" s="1"/>
  <c r="AQ54" i="1"/>
  <c r="AQ44" i="1" s="1"/>
  <c r="AO54" i="1"/>
  <c r="AO44" i="1" s="1"/>
  <c r="AS54" i="1"/>
  <c r="AS44" i="1" s="1"/>
  <c r="AS53" i="1"/>
  <c r="AS43" i="1" s="1"/>
  <c r="AN53" i="1"/>
  <c r="AN43" i="1" s="1"/>
  <c r="AM53" i="1"/>
  <c r="AM43" i="1" s="1"/>
  <c r="AL53" i="1"/>
  <c r="AL43" i="1" s="1"/>
  <c r="AP53" i="1"/>
  <c r="AP43" i="1" s="1"/>
  <c r="AO53" i="1"/>
  <c r="AO43" i="1" s="1"/>
  <c r="AQ53" i="1"/>
  <c r="AQ43" i="1" s="1"/>
  <c r="AR53" i="1"/>
  <c r="AR43" i="1" s="1"/>
  <c r="AO52" i="1"/>
  <c r="AO42" i="1" s="1"/>
  <c r="AL52" i="1"/>
  <c r="AL42" i="1" s="1"/>
  <c r="AP52" i="1"/>
  <c r="AP42" i="1" s="1"/>
  <c r="AQ52" i="1"/>
  <c r="AQ42" i="1" s="1"/>
  <c r="AR52" i="1"/>
  <c r="AR42" i="1" s="1"/>
  <c r="AS52" i="1"/>
  <c r="AS42" i="1" s="1"/>
  <c r="AM52" i="1"/>
  <c r="AM42" i="1" s="1"/>
  <c r="AN52" i="1"/>
  <c r="AN42" i="1" s="1"/>
  <c r="E55" i="1"/>
  <c r="AA55" i="1"/>
  <c r="AA45" i="1" s="1"/>
  <c r="O55" i="1"/>
  <c r="O45" i="1" s="1"/>
  <c r="X55" i="1"/>
  <c r="X45" i="1" s="1"/>
  <c r="F55" i="1"/>
  <c r="F45" i="1" s="1"/>
  <c r="M55" i="1"/>
  <c r="M45" i="1" s="1"/>
  <c r="Z55" i="1"/>
  <c r="Z45" i="1" s="1"/>
  <c r="H55" i="1"/>
  <c r="H45" i="1" s="1"/>
  <c r="P55" i="1"/>
  <c r="P45" i="1" s="1"/>
  <c r="AI55" i="1"/>
  <c r="AI45" i="1" s="1"/>
  <c r="I55" i="1"/>
  <c r="I45" i="1" s="1"/>
  <c r="Y55" i="1"/>
  <c r="Y45" i="1" s="1"/>
  <c r="G55" i="1"/>
  <c r="G45" i="1" s="1"/>
  <c r="N55" i="1"/>
  <c r="N45" i="1" s="1"/>
  <c r="Q55" i="1"/>
  <c r="Q45" i="1" s="1"/>
  <c r="R55" i="1"/>
  <c r="R45" i="1" s="1"/>
  <c r="S55" i="1"/>
  <c r="S45" i="1" s="1"/>
  <c r="AF55" i="1"/>
  <c r="AF45" i="1" s="1"/>
  <c r="AB55" i="1"/>
  <c r="AB45" i="1" s="1"/>
  <c r="T55" i="1"/>
  <c r="T45" i="1" s="1"/>
  <c r="J55" i="1"/>
  <c r="J45" i="1" s="1"/>
  <c r="AG55" i="1"/>
  <c r="AG45" i="1" s="1"/>
  <c r="AC55" i="1"/>
  <c r="AC45" i="1" s="1"/>
  <c r="U55" i="1"/>
  <c r="U45" i="1" s="1"/>
  <c r="K55" i="1"/>
  <c r="K45" i="1" s="1"/>
  <c r="AK55" i="1"/>
  <c r="AK45" i="1" s="1"/>
  <c r="AH55" i="1"/>
  <c r="AH45" i="1" s="1"/>
  <c r="AD55" i="1"/>
  <c r="AD45" i="1" s="1"/>
  <c r="V55" i="1"/>
  <c r="V45" i="1" s="1"/>
  <c r="AE55" i="1"/>
  <c r="AE45" i="1" s="1"/>
  <c r="W55" i="1"/>
  <c r="W45" i="1" s="1"/>
  <c r="AJ55" i="1"/>
  <c r="AJ45" i="1" s="1"/>
  <c r="L55" i="1"/>
  <c r="L45" i="1" s="1"/>
  <c r="K53" i="1"/>
  <c r="K43" i="1" s="1"/>
  <c r="AG53" i="1"/>
  <c r="AG43" i="1" s="1"/>
  <c r="AA53" i="1"/>
  <c r="AA43" i="1" s="1"/>
  <c r="Q53" i="1"/>
  <c r="Q43" i="1" s="1"/>
  <c r="AH53" i="1"/>
  <c r="AH43" i="1" s="1"/>
  <c r="AB53" i="1"/>
  <c r="AB43" i="1" s="1"/>
  <c r="H53" i="1"/>
  <c r="H43" i="1" s="1"/>
  <c r="R53" i="1"/>
  <c r="R43" i="1" s="1"/>
  <c r="AE53" i="1"/>
  <c r="AE43" i="1" s="1"/>
  <c r="AI53" i="1"/>
  <c r="AI43" i="1" s="1"/>
  <c r="AC53" i="1"/>
  <c r="AC43" i="1" s="1"/>
  <c r="I53" i="1"/>
  <c r="I43" i="1" s="1"/>
  <c r="AD53" i="1"/>
  <c r="AD43" i="1" s="1"/>
  <c r="J53" i="1"/>
  <c r="J43" i="1" s="1"/>
  <c r="T53" i="1"/>
  <c r="T43" i="1" s="1"/>
  <c r="M53" i="1"/>
  <c r="M43" i="1" s="1"/>
  <c r="AJ53" i="1"/>
  <c r="AJ43" i="1" s="1"/>
  <c r="U53" i="1"/>
  <c r="U43" i="1" s="1"/>
  <c r="N53" i="1"/>
  <c r="N43" i="1" s="1"/>
  <c r="E53" i="1"/>
  <c r="E43" i="1" s="1"/>
  <c r="O53" i="1"/>
  <c r="O43" i="1" s="1"/>
  <c r="AF53" i="1"/>
  <c r="AF43" i="1" s="1"/>
  <c r="S53" i="1"/>
  <c r="S43" i="1" s="1"/>
  <c r="L53" i="1"/>
  <c r="L43" i="1" s="1"/>
  <c r="AK53" i="1"/>
  <c r="AK43" i="1" s="1"/>
  <c r="V53" i="1"/>
  <c r="V43" i="1" s="1"/>
  <c r="P53" i="1"/>
  <c r="P43" i="1" s="1"/>
  <c r="W53" i="1"/>
  <c r="W43" i="1" s="1"/>
  <c r="X53" i="1"/>
  <c r="X43" i="1" s="1"/>
  <c r="Y53" i="1"/>
  <c r="Y43" i="1" s="1"/>
  <c r="Z53" i="1"/>
  <c r="Z43" i="1" s="1"/>
  <c r="F53" i="1"/>
  <c r="F43" i="1" s="1"/>
  <c r="G53" i="1"/>
  <c r="G43" i="1" s="1"/>
  <c r="T52" i="1"/>
  <c r="T42" i="1" s="1"/>
  <c r="Q52" i="1"/>
  <c r="Q42" i="1" s="1"/>
  <c r="U52" i="1"/>
  <c r="U42" i="1" s="1"/>
  <c r="AI52" i="1"/>
  <c r="AI42" i="1" s="1"/>
  <c r="X52" i="1"/>
  <c r="X42" i="1" s="1"/>
  <c r="V52" i="1"/>
  <c r="V42" i="1" s="1"/>
  <c r="M52" i="1"/>
  <c r="M42" i="1" s="1"/>
  <c r="Z52" i="1"/>
  <c r="Z42" i="1" s="1"/>
  <c r="E52" i="1"/>
  <c r="E42" i="1" s="1"/>
  <c r="AJ52" i="1"/>
  <c r="AJ42" i="1" s="1"/>
  <c r="Y52" i="1"/>
  <c r="Y42" i="1" s="1"/>
  <c r="W52" i="1"/>
  <c r="W42" i="1" s="1"/>
  <c r="N52" i="1"/>
  <c r="N42" i="1" s="1"/>
  <c r="P52" i="1"/>
  <c r="P42" i="1" s="1"/>
  <c r="AA52" i="1"/>
  <c r="AA42" i="1" s="1"/>
  <c r="AK52" i="1"/>
  <c r="AK42" i="1" s="1"/>
  <c r="AB52" i="1"/>
  <c r="AB42" i="1" s="1"/>
  <c r="G52" i="1"/>
  <c r="G42" i="1" s="1"/>
  <c r="AC52" i="1"/>
  <c r="AC42" i="1" s="1"/>
  <c r="H52" i="1"/>
  <c r="H42" i="1" s="1"/>
  <c r="O52" i="1"/>
  <c r="O42" i="1" s="1"/>
  <c r="L52" i="1"/>
  <c r="L42" i="1" s="1"/>
  <c r="AD52" i="1"/>
  <c r="AD42" i="1" s="1"/>
  <c r="I52" i="1"/>
  <c r="I42" i="1" s="1"/>
  <c r="AF52" i="1"/>
  <c r="AF42" i="1" s="1"/>
  <c r="AE52" i="1"/>
  <c r="AE42" i="1" s="1"/>
  <c r="J52" i="1"/>
  <c r="J42" i="1" s="1"/>
  <c r="AG52" i="1"/>
  <c r="AG42" i="1" s="1"/>
  <c r="R52" i="1"/>
  <c r="R42" i="1" s="1"/>
  <c r="K52" i="1"/>
  <c r="K42" i="1" s="1"/>
  <c r="AH52" i="1"/>
  <c r="AH42" i="1" s="1"/>
  <c r="S52" i="1"/>
  <c r="S42" i="1" s="1"/>
  <c r="F52" i="1"/>
  <c r="F42" i="1" s="1"/>
  <c r="O54" i="1"/>
  <c r="O44" i="1" s="1"/>
  <c r="AE54" i="1"/>
  <c r="AE44" i="1" s="1"/>
  <c r="U54" i="1"/>
  <c r="U44" i="1" s="1"/>
  <c r="V54" i="1"/>
  <c r="V44" i="1" s="1"/>
  <c r="AH54" i="1"/>
  <c r="AH44" i="1" s="1"/>
  <c r="Q54" i="1"/>
  <c r="Q44" i="1" s="1"/>
  <c r="AF54" i="1"/>
  <c r="AF44" i="1" s="1"/>
  <c r="W54" i="1"/>
  <c r="W44" i="1" s="1"/>
  <c r="AI54" i="1"/>
  <c r="AI44" i="1" s="1"/>
  <c r="AG54" i="1"/>
  <c r="AG44" i="1" s="1"/>
  <c r="X54" i="1"/>
  <c r="X44" i="1" s="1"/>
  <c r="E54" i="1"/>
  <c r="E44" i="1" s="1"/>
  <c r="Y54" i="1"/>
  <c r="Y44" i="1" s="1"/>
  <c r="F54" i="1"/>
  <c r="F44" i="1" s="1"/>
  <c r="I54" i="1"/>
  <c r="I44" i="1" s="1"/>
  <c r="P54" i="1"/>
  <c r="P44" i="1" s="1"/>
  <c r="Z54" i="1"/>
  <c r="Z44" i="1" s="1"/>
  <c r="G54" i="1"/>
  <c r="G44" i="1" s="1"/>
  <c r="AJ54" i="1"/>
  <c r="AJ44" i="1" s="1"/>
  <c r="AA54" i="1"/>
  <c r="AA44" i="1" s="1"/>
  <c r="H54" i="1"/>
  <c r="H44" i="1" s="1"/>
  <c r="L54" i="1"/>
  <c r="L44" i="1" s="1"/>
  <c r="AK54" i="1"/>
  <c r="AK44" i="1" s="1"/>
  <c r="AB54" i="1"/>
  <c r="AB44" i="1" s="1"/>
  <c r="R54" i="1"/>
  <c r="R44" i="1" s="1"/>
  <c r="M54" i="1"/>
  <c r="M44" i="1" s="1"/>
  <c r="AC54" i="1"/>
  <c r="AC44" i="1" s="1"/>
  <c r="S54" i="1"/>
  <c r="S44" i="1" s="1"/>
  <c r="J54" i="1"/>
  <c r="J44" i="1" s="1"/>
  <c r="N54" i="1"/>
  <c r="N44" i="1" s="1"/>
  <c r="AD54" i="1"/>
  <c r="AD44" i="1" s="1"/>
  <c r="T54" i="1"/>
  <c r="T44" i="1" s="1"/>
  <c r="K54" i="1"/>
  <c r="K44" i="1" s="1"/>
  <c r="E45" i="1"/>
</calcChain>
</file>

<file path=xl/sharedStrings.xml><?xml version="1.0" encoding="utf-8"?>
<sst xmlns="http://schemas.openxmlformats.org/spreadsheetml/2006/main" count="46" uniqueCount="43">
  <si>
    <t>Durability</t>
  </si>
  <si>
    <t>protection</t>
  </si>
  <si>
    <t>calc protection</t>
  </si>
  <si>
    <t>tier</t>
  </si>
  <si>
    <t>armor</t>
  </si>
  <si>
    <t>armorB</t>
  </si>
  <si>
    <t>armorA</t>
  </si>
  <si>
    <t>DamageMin</t>
  </si>
  <si>
    <t>DamageMax</t>
  </si>
  <si>
    <t>Result</t>
  </si>
  <si>
    <t>MultyDamage</t>
  </si>
  <si>
    <t>TierA</t>
  </si>
  <si>
    <t>TierB</t>
  </si>
  <si>
    <t>MultyTier</t>
  </si>
  <si>
    <t>ActualArmor</t>
  </si>
  <si>
    <t>armorDA</t>
  </si>
  <si>
    <t>armorDB</t>
  </si>
  <si>
    <t>absDamage</t>
  </si>
  <si>
    <t>multi</t>
  </si>
  <si>
    <t>result</t>
  </si>
  <si>
    <t>minDamage</t>
  </si>
  <si>
    <t>maxDamage</t>
  </si>
  <si>
    <t>MinRequ</t>
  </si>
  <si>
    <t>MaxReq</t>
  </si>
  <si>
    <t>Res</t>
  </si>
  <si>
    <t>Act</t>
  </si>
  <si>
    <t>vanilla Armor</t>
  </si>
  <si>
    <t>PenDamage</t>
  </si>
  <si>
    <t>PenChance</t>
  </si>
  <si>
    <t>PenLoss</t>
  </si>
  <si>
    <t>PenDelta</t>
  </si>
  <si>
    <t>calc</t>
  </si>
  <si>
    <t>Median Calculations</t>
  </si>
  <si>
    <t>ArmorProtect arms / lgs multi</t>
  </si>
  <si>
    <t>ArmorPenetration decrease</t>
  </si>
  <si>
    <t>Multip</t>
  </si>
  <si>
    <t>Limb</t>
  </si>
  <si>
    <t>Head</t>
  </si>
  <si>
    <t>Body</t>
  </si>
  <si>
    <t>Arm</t>
  </si>
  <si>
    <t>Leg</t>
  </si>
  <si>
    <t>Damage</t>
  </si>
  <si>
    <t>calcDamage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</si>
</sst>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4" borderId="0" xfId="0" applyFill="1"/>
    <xf numFmtId="0" fontId="0" fillId="4" borderId="0" xfId="0" applyNumberFormat="1" applyFill="1"/>
    <xf numFmtId="0" fontId="0" fillId="0" borderId="0" xfId="0" applyFill="1"/>
    <xf numFmtId="0" fontId="0" fillId="3" borderId="0" xfId="0" applyFill="1"/>
    <xf numFmtId="0" fontId="0" fillId="5" borderId="0" xfId="0" applyFont="1" applyFill="1"/>
    <xf numFmtId="0" fontId="1" fillId="5" borderId="0" xfId="0" applyFont="1" applyFill="1"/>
    <xf numFmtId="0" fontId="0" fillId="5" borderId="0" xfId="0" applyFill="1"/>
    <xf numFmtId="0" fontId="0" fillId="6" borderId="0" xfId="0" applyFill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3:AS87"/>
  <sheetViews>
    <sheetView tabSelected="1" topLeftCell="A25" workbookViewId="0">
      <selection activeCell="B45" sqref="B45"/>
    </sheetView>
  </sheetViews>
  <sheetFormatPr baseColWidth="10" defaultRowHeight="15" x14ac:dyDescent="0.25"/>
  <cols>
    <col min="3" max="4" width="14" bestFit="1" customWidth="1"/>
    <col min="5" max="5" width="4.85546875" customWidth="1"/>
    <col min="6" max="6" width="5.5703125" customWidth="1"/>
    <col min="7" max="7" width="4.85546875" customWidth="1"/>
    <col min="8" max="8" width="5" customWidth="1"/>
    <col min="9" max="12" width="5.28515625" customWidth="1"/>
    <col min="13" max="13" width="5" customWidth="1"/>
    <col min="14" max="15" width="4.85546875" customWidth="1"/>
    <col min="16" max="16" width="4.7109375" customWidth="1"/>
    <col min="17" max="17" width="5" customWidth="1"/>
    <col min="18" max="18" width="4.7109375" customWidth="1"/>
    <col min="19" max="21" width="5.42578125" customWidth="1"/>
    <col min="22" max="22" width="5.5703125" customWidth="1"/>
    <col min="23" max="23" width="5.28515625" customWidth="1"/>
    <col min="24" max="24" width="5.5703125" customWidth="1"/>
    <col min="25" max="26" width="4.85546875" customWidth="1"/>
    <col min="27" max="28" width="5.5703125" customWidth="1"/>
    <col min="29" max="29" width="5.42578125" customWidth="1"/>
    <col min="30" max="30" width="5.5703125" customWidth="1"/>
    <col min="31" max="31" width="4.85546875" customWidth="1"/>
    <col min="32" max="32" width="5.42578125" customWidth="1"/>
    <col min="33" max="33" width="4.85546875" customWidth="1"/>
    <col min="34" max="34" width="5.42578125" customWidth="1"/>
    <col min="35" max="35" width="5" customWidth="1"/>
    <col min="36" max="36" width="5.42578125" customWidth="1"/>
    <col min="37" max="37" width="5" customWidth="1"/>
    <col min="38" max="38" width="4.7109375" customWidth="1"/>
    <col min="39" max="39" width="4.85546875" customWidth="1"/>
    <col min="40" max="40" width="4.42578125" customWidth="1"/>
    <col min="41" max="42" width="5.42578125" customWidth="1"/>
    <col min="43" max="43" width="5.28515625" customWidth="1"/>
    <col min="44" max="44" width="5.140625" customWidth="1"/>
    <col min="45" max="45" width="5" customWidth="1"/>
  </cols>
  <sheetData>
    <row r="23" spans="5:45" x14ac:dyDescent="0.25">
      <c r="E23">
        <f t="shared" ref="E23:AS23" si="0">($D35-E$40-15)</f>
        <v>-6.9</v>
      </c>
      <c r="F23">
        <f t="shared" si="0"/>
        <v>-7.9</v>
      </c>
      <c r="G23">
        <f t="shared" si="0"/>
        <v>-8.9</v>
      </c>
      <c r="H23">
        <f t="shared" si="0"/>
        <v>-9.9</v>
      </c>
      <c r="I23">
        <f t="shared" si="0"/>
        <v>-10.9</v>
      </c>
      <c r="J23">
        <f t="shared" si="0"/>
        <v>-11.9</v>
      </c>
      <c r="K23">
        <f t="shared" si="0"/>
        <v>-12.9</v>
      </c>
      <c r="L23">
        <f t="shared" si="0"/>
        <v>-13.9</v>
      </c>
      <c r="M23">
        <f t="shared" si="0"/>
        <v>-14.9</v>
      </c>
      <c r="N23">
        <f t="shared" si="0"/>
        <v>-15.9</v>
      </c>
      <c r="O23">
        <f t="shared" si="0"/>
        <v>-16.399999999999999</v>
      </c>
      <c r="P23">
        <f t="shared" si="0"/>
        <v>-16.899999999999999</v>
      </c>
      <c r="Q23">
        <f t="shared" si="0"/>
        <v>-17.399999999999999</v>
      </c>
      <c r="R23">
        <f t="shared" si="0"/>
        <v>-17.899999999999999</v>
      </c>
      <c r="S23">
        <f t="shared" si="0"/>
        <v>-18.899999999999999</v>
      </c>
      <c r="T23">
        <f t="shared" si="0"/>
        <v>-19.899999999999999</v>
      </c>
      <c r="U23">
        <f t="shared" si="0"/>
        <v>-20.9</v>
      </c>
      <c r="V23">
        <f t="shared" si="0"/>
        <v>-21.9</v>
      </c>
      <c r="W23">
        <f t="shared" si="0"/>
        <v>-22.9</v>
      </c>
      <c r="X23">
        <f t="shared" si="0"/>
        <v>-23.9</v>
      </c>
      <c r="Y23">
        <f t="shared" si="0"/>
        <v>-24.9</v>
      </c>
      <c r="Z23">
        <f t="shared" si="0"/>
        <v>-25.9</v>
      </c>
      <c r="AA23">
        <f t="shared" si="0"/>
        <v>-26.9</v>
      </c>
      <c r="AB23">
        <f t="shared" si="0"/>
        <v>-27.9</v>
      </c>
      <c r="AC23">
        <f t="shared" si="0"/>
        <v>-28.9</v>
      </c>
      <c r="AD23">
        <f t="shared" si="0"/>
        <v>-29.9</v>
      </c>
      <c r="AE23">
        <f t="shared" si="0"/>
        <v>-30.9</v>
      </c>
      <c r="AF23">
        <f t="shared" si="0"/>
        <v>-31.9</v>
      </c>
      <c r="AG23">
        <f t="shared" si="0"/>
        <v>-32.9</v>
      </c>
      <c r="AH23">
        <f t="shared" si="0"/>
        <v>-33.9</v>
      </c>
      <c r="AI23">
        <f t="shared" si="0"/>
        <v>-34.9</v>
      </c>
      <c r="AJ23">
        <f t="shared" si="0"/>
        <v>-35.9</v>
      </c>
      <c r="AK23">
        <f t="shared" si="0"/>
        <v>-36.9</v>
      </c>
      <c r="AL23">
        <f t="shared" si="0"/>
        <v>-37.9</v>
      </c>
      <c r="AM23">
        <f t="shared" si="0"/>
        <v>-38.9</v>
      </c>
      <c r="AN23">
        <f t="shared" si="0"/>
        <v>-39.9</v>
      </c>
      <c r="AO23">
        <f t="shared" si="0"/>
        <v>-40.9</v>
      </c>
      <c r="AP23">
        <f t="shared" si="0"/>
        <v>-41.9</v>
      </c>
      <c r="AQ23">
        <f t="shared" si="0"/>
        <v>-42.9</v>
      </c>
      <c r="AR23">
        <f t="shared" si="0"/>
        <v>-43.9</v>
      </c>
      <c r="AS23">
        <f t="shared" si="0"/>
        <v>-44.9</v>
      </c>
    </row>
    <row r="24" spans="5:45" x14ac:dyDescent="0.25">
      <c r="E24">
        <f t="shared" ref="E24:AS24" si="1">($D36-E$40-15)</f>
        <v>1.1999999999999993</v>
      </c>
      <c r="F24">
        <f t="shared" si="1"/>
        <v>0.19999999999999929</v>
      </c>
      <c r="G24">
        <f t="shared" si="1"/>
        <v>-0.80000000000000071</v>
      </c>
      <c r="H24">
        <f t="shared" si="1"/>
        <v>-1.8000000000000007</v>
      </c>
      <c r="I24">
        <f t="shared" si="1"/>
        <v>-2.8000000000000007</v>
      </c>
      <c r="J24">
        <f t="shared" si="1"/>
        <v>-3.8000000000000007</v>
      </c>
      <c r="K24">
        <f t="shared" si="1"/>
        <v>-4.8000000000000007</v>
      </c>
      <c r="L24">
        <f t="shared" si="1"/>
        <v>-5.8000000000000007</v>
      </c>
      <c r="M24">
        <f t="shared" si="1"/>
        <v>-6.8000000000000007</v>
      </c>
      <c r="N24">
        <f t="shared" si="1"/>
        <v>-7.8000000000000007</v>
      </c>
      <c r="O24">
        <f t="shared" si="1"/>
        <v>-8.3000000000000007</v>
      </c>
      <c r="P24">
        <f t="shared" si="1"/>
        <v>-8.8000000000000007</v>
      </c>
      <c r="Q24">
        <f t="shared" si="1"/>
        <v>-9.3000000000000007</v>
      </c>
      <c r="R24">
        <f t="shared" si="1"/>
        <v>-9.8000000000000007</v>
      </c>
      <c r="S24">
        <f t="shared" si="1"/>
        <v>-10.8</v>
      </c>
      <c r="T24">
        <f t="shared" si="1"/>
        <v>-11.8</v>
      </c>
      <c r="U24">
        <f t="shared" si="1"/>
        <v>-12.8</v>
      </c>
      <c r="V24">
        <f t="shared" si="1"/>
        <v>-13.8</v>
      </c>
      <c r="W24">
        <f t="shared" si="1"/>
        <v>-14.8</v>
      </c>
      <c r="X24">
        <f t="shared" si="1"/>
        <v>-15.8</v>
      </c>
      <c r="Y24">
        <f t="shared" si="1"/>
        <v>-16.8</v>
      </c>
      <c r="Z24">
        <f t="shared" si="1"/>
        <v>-17.8</v>
      </c>
      <c r="AA24">
        <f t="shared" si="1"/>
        <v>-18.8</v>
      </c>
      <c r="AB24">
        <f t="shared" si="1"/>
        <v>-19.8</v>
      </c>
      <c r="AC24">
        <f t="shared" si="1"/>
        <v>-20.8</v>
      </c>
      <c r="AD24">
        <f t="shared" si="1"/>
        <v>-21.8</v>
      </c>
      <c r="AE24">
        <f t="shared" si="1"/>
        <v>-22.8</v>
      </c>
      <c r="AF24">
        <f t="shared" si="1"/>
        <v>-23.8</v>
      </c>
      <c r="AG24">
        <f t="shared" si="1"/>
        <v>-24.8</v>
      </c>
      <c r="AH24">
        <f t="shared" si="1"/>
        <v>-25.8</v>
      </c>
      <c r="AI24">
        <f t="shared" si="1"/>
        <v>-26.8</v>
      </c>
      <c r="AJ24">
        <f t="shared" si="1"/>
        <v>-27.8</v>
      </c>
      <c r="AK24">
        <f t="shared" si="1"/>
        <v>-28.8</v>
      </c>
      <c r="AL24">
        <f t="shared" si="1"/>
        <v>-29.8</v>
      </c>
      <c r="AM24">
        <f t="shared" si="1"/>
        <v>-30.8</v>
      </c>
      <c r="AN24">
        <f t="shared" si="1"/>
        <v>-31.8</v>
      </c>
      <c r="AO24">
        <f t="shared" si="1"/>
        <v>-32.799999999999997</v>
      </c>
      <c r="AP24">
        <f t="shared" si="1"/>
        <v>-33.799999999999997</v>
      </c>
      <c r="AQ24">
        <f t="shared" si="1"/>
        <v>-34.799999999999997</v>
      </c>
      <c r="AR24">
        <f t="shared" si="1"/>
        <v>-35.799999999999997</v>
      </c>
      <c r="AS24">
        <f t="shared" si="1"/>
        <v>-36.799999999999997</v>
      </c>
    </row>
    <row r="25" spans="5:45" x14ac:dyDescent="0.25">
      <c r="E25">
        <f t="shared" ref="E25:AS25" si="2">($D37-E$40-15)</f>
        <v>9.3000000000000007</v>
      </c>
      <c r="F25">
        <f t="shared" si="2"/>
        <v>8.3000000000000007</v>
      </c>
      <c r="G25">
        <f t="shared" si="2"/>
        <v>7.3000000000000007</v>
      </c>
      <c r="H25">
        <f t="shared" si="2"/>
        <v>6.3000000000000007</v>
      </c>
      <c r="I25">
        <f t="shared" si="2"/>
        <v>5.3000000000000007</v>
      </c>
      <c r="J25">
        <f t="shared" si="2"/>
        <v>4.3000000000000007</v>
      </c>
      <c r="K25">
        <f t="shared" si="2"/>
        <v>3.3000000000000007</v>
      </c>
      <c r="L25">
        <f t="shared" si="2"/>
        <v>2.3000000000000007</v>
      </c>
      <c r="M25">
        <f t="shared" si="2"/>
        <v>1.3000000000000007</v>
      </c>
      <c r="N25">
        <f t="shared" si="2"/>
        <v>0.30000000000000071</v>
      </c>
      <c r="O25">
        <f t="shared" si="2"/>
        <v>-0.19999999999999929</v>
      </c>
      <c r="P25">
        <f t="shared" si="2"/>
        <v>-0.69999999999999929</v>
      </c>
      <c r="Q25">
        <f t="shared" si="2"/>
        <v>-1.1999999999999993</v>
      </c>
      <c r="R25">
        <f t="shared" si="2"/>
        <v>-1.6999999999999993</v>
      </c>
      <c r="S25">
        <f t="shared" si="2"/>
        <v>-2.6999999999999993</v>
      </c>
      <c r="T25">
        <f t="shared" si="2"/>
        <v>-3.6999999999999993</v>
      </c>
      <c r="U25">
        <f t="shared" si="2"/>
        <v>-4.6999999999999993</v>
      </c>
      <c r="V25">
        <f t="shared" si="2"/>
        <v>-5.6999999999999993</v>
      </c>
      <c r="W25">
        <f t="shared" si="2"/>
        <v>-6.6999999999999993</v>
      </c>
      <c r="X25">
        <f t="shared" si="2"/>
        <v>-7.6999999999999993</v>
      </c>
      <c r="Y25">
        <f t="shared" si="2"/>
        <v>-8.6999999999999993</v>
      </c>
      <c r="Z25">
        <f t="shared" si="2"/>
        <v>-9.6999999999999993</v>
      </c>
      <c r="AA25">
        <f t="shared" si="2"/>
        <v>-10.7</v>
      </c>
      <c r="AB25">
        <f t="shared" si="2"/>
        <v>-11.7</v>
      </c>
      <c r="AC25">
        <f t="shared" si="2"/>
        <v>-12.7</v>
      </c>
      <c r="AD25">
        <f t="shared" si="2"/>
        <v>-13.7</v>
      </c>
      <c r="AE25">
        <f t="shared" si="2"/>
        <v>-14.7</v>
      </c>
      <c r="AF25">
        <f t="shared" si="2"/>
        <v>-15.7</v>
      </c>
      <c r="AG25">
        <f t="shared" si="2"/>
        <v>-16.7</v>
      </c>
      <c r="AH25">
        <f t="shared" si="2"/>
        <v>-17.7</v>
      </c>
      <c r="AI25">
        <f t="shared" si="2"/>
        <v>-18.7</v>
      </c>
      <c r="AJ25">
        <f t="shared" si="2"/>
        <v>-19.7</v>
      </c>
      <c r="AK25">
        <f t="shared" si="2"/>
        <v>-20.7</v>
      </c>
      <c r="AL25">
        <f t="shared" si="2"/>
        <v>-21.7</v>
      </c>
      <c r="AM25">
        <f t="shared" si="2"/>
        <v>-22.7</v>
      </c>
      <c r="AN25">
        <f t="shared" si="2"/>
        <v>-23.7</v>
      </c>
      <c r="AO25">
        <f t="shared" si="2"/>
        <v>-24.7</v>
      </c>
      <c r="AP25">
        <f t="shared" si="2"/>
        <v>-25.7</v>
      </c>
      <c r="AQ25">
        <f t="shared" si="2"/>
        <v>-26.7</v>
      </c>
      <c r="AR25">
        <f t="shared" si="2"/>
        <v>-27.7</v>
      </c>
      <c r="AS25">
        <f t="shared" si="2"/>
        <v>-28.7</v>
      </c>
    </row>
    <row r="26" spans="5:45" x14ac:dyDescent="0.25">
      <c r="E26">
        <f t="shared" ref="E26:AS26" si="3">($D38-E$40-15)</f>
        <v>13.350000000000001</v>
      </c>
      <c r="F26">
        <f t="shared" si="3"/>
        <v>12.350000000000001</v>
      </c>
      <c r="G26">
        <f t="shared" si="3"/>
        <v>11.350000000000001</v>
      </c>
      <c r="H26">
        <f t="shared" si="3"/>
        <v>10.350000000000001</v>
      </c>
      <c r="I26">
        <f t="shared" si="3"/>
        <v>9.3500000000000014</v>
      </c>
      <c r="J26">
        <f t="shared" si="3"/>
        <v>8.3500000000000014</v>
      </c>
      <c r="K26">
        <f t="shared" si="3"/>
        <v>7.3500000000000014</v>
      </c>
      <c r="L26">
        <f t="shared" si="3"/>
        <v>6.3500000000000014</v>
      </c>
      <c r="M26">
        <f t="shared" si="3"/>
        <v>5.3500000000000014</v>
      </c>
      <c r="N26">
        <f t="shared" si="3"/>
        <v>4.3500000000000014</v>
      </c>
      <c r="O26">
        <f t="shared" si="3"/>
        <v>3.8500000000000014</v>
      </c>
      <c r="P26">
        <f t="shared" si="3"/>
        <v>3.3500000000000014</v>
      </c>
      <c r="Q26">
        <f t="shared" si="3"/>
        <v>2.8500000000000014</v>
      </c>
      <c r="R26">
        <f t="shared" si="3"/>
        <v>2.3500000000000014</v>
      </c>
      <c r="S26">
        <f t="shared" si="3"/>
        <v>1.3500000000000014</v>
      </c>
      <c r="T26">
        <f t="shared" si="3"/>
        <v>0.35000000000000142</v>
      </c>
      <c r="U26">
        <f t="shared" si="3"/>
        <v>-0.64999999999999858</v>
      </c>
      <c r="V26">
        <f t="shared" si="3"/>
        <v>-1.6499999999999986</v>
      </c>
      <c r="W26">
        <f t="shared" si="3"/>
        <v>-2.6499999999999986</v>
      </c>
      <c r="X26">
        <f t="shared" si="3"/>
        <v>-3.6499999999999986</v>
      </c>
      <c r="Y26">
        <f t="shared" si="3"/>
        <v>-4.6499999999999986</v>
      </c>
      <c r="Z26">
        <f t="shared" si="3"/>
        <v>-5.6499999999999986</v>
      </c>
      <c r="AA26">
        <f t="shared" si="3"/>
        <v>-6.6499999999999986</v>
      </c>
      <c r="AB26">
        <f t="shared" si="3"/>
        <v>-7.6499999999999986</v>
      </c>
      <c r="AC26">
        <f t="shared" si="3"/>
        <v>-8.6499999999999986</v>
      </c>
      <c r="AD26">
        <f t="shared" si="3"/>
        <v>-9.6499999999999986</v>
      </c>
      <c r="AE26">
        <f t="shared" si="3"/>
        <v>-10.649999999999999</v>
      </c>
      <c r="AF26">
        <f t="shared" si="3"/>
        <v>-11.649999999999999</v>
      </c>
      <c r="AG26">
        <f t="shared" si="3"/>
        <v>-12.649999999999999</v>
      </c>
      <c r="AH26">
        <f t="shared" si="3"/>
        <v>-13.649999999999999</v>
      </c>
      <c r="AI26">
        <f t="shared" si="3"/>
        <v>-14.649999999999999</v>
      </c>
      <c r="AJ26">
        <f t="shared" si="3"/>
        <v>-15.649999999999999</v>
      </c>
      <c r="AK26">
        <f t="shared" si="3"/>
        <v>-16.649999999999999</v>
      </c>
      <c r="AL26">
        <f t="shared" si="3"/>
        <v>-17.649999999999999</v>
      </c>
      <c r="AM26">
        <f t="shared" si="3"/>
        <v>-18.649999999999999</v>
      </c>
      <c r="AN26">
        <f t="shared" si="3"/>
        <v>-19.649999999999999</v>
      </c>
      <c r="AO26">
        <f t="shared" si="3"/>
        <v>-20.65</v>
      </c>
      <c r="AP26">
        <f t="shared" si="3"/>
        <v>-21.65</v>
      </c>
      <c r="AQ26">
        <f t="shared" si="3"/>
        <v>-22.65</v>
      </c>
      <c r="AR26">
        <f t="shared" si="3"/>
        <v>-23.65</v>
      </c>
      <c r="AS26">
        <f t="shared" si="3"/>
        <v>-24.65</v>
      </c>
    </row>
    <row r="27" spans="5:45" x14ac:dyDescent="0.25">
      <c r="E27">
        <f t="shared" ref="E27:AS27" si="4">($D39-E$40-15)</f>
        <v>17.399999999999999</v>
      </c>
      <c r="F27">
        <f t="shared" si="4"/>
        <v>16.399999999999999</v>
      </c>
      <c r="G27">
        <f t="shared" si="4"/>
        <v>15.399999999999999</v>
      </c>
      <c r="H27">
        <f t="shared" si="4"/>
        <v>14.399999999999999</v>
      </c>
      <c r="I27">
        <f t="shared" si="4"/>
        <v>13.399999999999999</v>
      </c>
      <c r="J27">
        <f t="shared" si="4"/>
        <v>12.399999999999999</v>
      </c>
      <c r="K27">
        <f t="shared" si="4"/>
        <v>11.399999999999999</v>
      </c>
      <c r="L27">
        <f t="shared" si="4"/>
        <v>10.399999999999999</v>
      </c>
      <c r="M27">
        <f t="shared" si="4"/>
        <v>9.3999999999999986</v>
      </c>
      <c r="N27">
        <f t="shared" si="4"/>
        <v>8.3999999999999986</v>
      </c>
      <c r="O27">
        <f t="shared" si="4"/>
        <v>7.8999999999999986</v>
      </c>
      <c r="P27">
        <f t="shared" si="4"/>
        <v>7.3999999999999986</v>
      </c>
      <c r="Q27">
        <f t="shared" si="4"/>
        <v>6.8999999999999986</v>
      </c>
      <c r="R27">
        <f t="shared" si="4"/>
        <v>6.3999999999999986</v>
      </c>
      <c r="S27">
        <f t="shared" si="4"/>
        <v>5.3999999999999986</v>
      </c>
      <c r="T27">
        <f t="shared" si="4"/>
        <v>4.3999999999999986</v>
      </c>
      <c r="U27">
        <f t="shared" si="4"/>
        <v>3.3999999999999986</v>
      </c>
      <c r="V27">
        <f t="shared" si="4"/>
        <v>2.3999999999999986</v>
      </c>
      <c r="W27">
        <f t="shared" si="4"/>
        <v>1.3999999999999986</v>
      </c>
      <c r="X27">
        <f t="shared" si="4"/>
        <v>0.39999999999999858</v>
      </c>
      <c r="Y27">
        <f t="shared" si="4"/>
        <v>-0.60000000000000142</v>
      </c>
      <c r="Z27">
        <f t="shared" si="4"/>
        <v>-1.6000000000000014</v>
      </c>
      <c r="AA27">
        <f t="shared" si="4"/>
        <v>-2.6000000000000014</v>
      </c>
      <c r="AB27">
        <f t="shared" si="4"/>
        <v>-3.6000000000000014</v>
      </c>
      <c r="AC27">
        <f t="shared" si="4"/>
        <v>-4.6000000000000014</v>
      </c>
      <c r="AD27">
        <f t="shared" si="4"/>
        <v>-5.6000000000000014</v>
      </c>
      <c r="AE27">
        <f t="shared" si="4"/>
        <v>-6.6000000000000014</v>
      </c>
      <c r="AF27">
        <f t="shared" si="4"/>
        <v>-7.6000000000000014</v>
      </c>
      <c r="AG27">
        <f t="shared" si="4"/>
        <v>-8.6000000000000014</v>
      </c>
      <c r="AH27">
        <f t="shared" si="4"/>
        <v>-9.6000000000000014</v>
      </c>
      <c r="AI27">
        <f t="shared" si="4"/>
        <v>-10.600000000000001</v>
      </c>
      <c r="AJ27">
        <f t="shared" si="4"/>
        <v>-11.600000000000001</v>
      </c>
      <c r="AK27">
        <f t="shared" si="4"/>
        <v>-12.600000000000001</v>
      </c>
      <c r="AL27">
        <f t="shared" si="4"/>
        <v>-13.600000000000001</v>
      </c>
      <c r="AM27">
        <f t="shared" si="4"/>
        <v>-14.600000000000001</v>
      </c>
      <c r="AN27">
        <f t="shared" si="4"/>
        <v>-15.600000000000001</v>
      </c>
      <c r="AO27">
        <f t="shared" si="4"/>
        <v>-16.600000000000001</v>
      </c>
      <c r="AP27">
        <f t="shared" si="4"/>
        <v>-17.600000000000001</v>
      </c>
      <c r="AQ27">
        <f t="shared" si="4"/>
        <v>-18.600000000000001</v>
      </c>
      <c r="AR27">
        <f t="shared" si="4"/>
        <v>-19.600000000000001</v>
      </c>
      <c r="AS27">
        <f t="shared" si="4"/>
        <v>-20.6</v>
      </c>
    </row>
    <row r="34" spans="1:45" x14ac:dyDescent="0.25">
      <c r="D34" s="4"/>
    </row>
    <row r="35" spans="1:45" x14ac:dyDescent="0.25">
      <c r="D35" s="4">
        <f>(121-5000/(45+$B$36*2))*C41*0.1</f>
        <v>8.1</v>
      </c>
      <c r="E35" s="1">
        <f>(IF(E23&gt;0,0,E23)^2)/100</f>
        <v>0.47610000000000008</v>
      </c>
      <c r="F35" s="1">
        <f t="shared" ref="F35:AS39" si="5">(IF(F23&gt;0,0,F23)^2)/100</f>
        <v>0.62409999999999999</v>
      </c>
      <c r="G35" s="1">
        <f t="shared" si="5"/>
        <v>0.79210000000000003</v>
      </c>
      <c r="H35" s="1">
        <f t="shared" si="5"/>
        <v>0.98010000000000008</v>
      </c>
      <c r="I35" s="1">
        <f t="shared" si="5"/>
        <v>1.1880999999999999</v>
      </c>
      <c r="J35" s="1">
        <f t="shared" si="5"/>
        <v>1.4161000000000001</v>
      </c>
      <c r="K35" s="1">
        <f t="shared" si="5"/>
        <v>1.6640999999999999</v>
      </c>
      <c r="L35" s="1">
        <f t="shared" si="5"/>
        <v>1.9321000000000002</v>
      </c>
      <c r="M35" s="1">
        <f t="shared" si="5"/>
        <v>2.2201000000000004</v>
      </c>
      <c r="N35" s="1">
        <f t="shared" si="5"/>
        <v>2.5281000000000002</v>
      </c>
      <c r="O35" s="1">
        <f t="shared" si="5"/>
        <v>2.6896</v>
      </c>
      <c r="P35" s="1">
        <f t="shared" si="5"/>
        <v>2.8560999999999996</v>
      </c>
      <c r="Q35" s="1">
        <f t="shared" si="5"/>
        <v>3.0275999999999992</v>
      </c>
      <c r="R35" s="1">
        <f t="shared" si="5"/>
        <v>3.2040999999999995</v>
      </c>
      <c r="S35" s="1">
        <f t="shared" si="5"/>
        <v>3.5720999999999994</v>
      </c>
      <c r="T35" s="1">
        <f t="shared" si="5"/>
        <v>3.9600999999999993</v>
      </c>
      <c r="U35" s="1">
        <f t="shared" si="5"/>
        <v>4.3680999999999992</v>
      </c>
      <c r="V35" s="1">
        <f t="shared" si="5"/>
        <v>4.7960999999999991</v>
      </c>
      <c r="W35" s="1">
        <f t="shared" si="5"/>
        <v>5.2440999999999995</v>
      </c>
      <c r="X35" s="1">
        <f t="shared" si="5"/>
        <v>5.7120999999999995</v>
      </c>
      <c r="Y35" s="1">
        <f t="shared" si="5"/>
        <v>6.2000999999999991</v>
      </c>
      <c r="Z35" s="1">
        <f t="shared" si="5"/>
        <v>6.7080999999999991</v>
      </c>
      <c r="AA35" s="1">
        <f t="shared" si="5"/>
        <v>7.2360999999999986</v>
      </c>
      <c r="AB35" s="1">
        <f t="shared" si="5"/>
        <v>7.7840999999999996</v>
      </c>
      <c r="AC35" s="1">
        <f t="shared" si="5"/>
        <v>8.3521000000000001</v>
      </c>
      <c r="AD35" s="1">
        <f t="shared" si="5"/>
        <v>8.9400999999999993</v>
      </c>
      <c r="AE35" s="1">
        <f t="shared" si="5"/>
        <v>9.5480999999999998</v>
      </c>
      <c r="AF35" s="1">
        <f t="shared" si="5"/>
        <v>10.176099999999998</v>
      </c>
      <c r="AG35" s="1">
        <f t="shared" si="5"/>
        <v>10.824099999999998</v>
      </c>
      <c r="AH35" s="1">
        <f t="shared" si="5"/>
        <v>11.492099999999999</v>
      </c>
      <c r="AI35" s="1">
        <f t="shared" si="5"/>
        <v>12.180099999999999</v>
      </c>
      <c r="AJ35" s="1">
        <f t="shared" si="5"/>
        <v>12.8881</v>
      </c>
      <c r="AK35" s="1">
        <f t="shared" si="5"/>
        <v>13.616099999999999</v>
      </c>
      <c r="AL35" s="1">
        <f t="shared" si="5"/>
        <v>14.364099999999999</v>
      </c>
      <c r="AM35" s="1">
        <f t="shared" si="5"/>
        <v>15.132099999999998</v>
      </c>
      <c r="AN35" s="1">
        <f t="shared" si="5"/>
        <v>15.9201</v>
      </c>
      <c r="AO35" s="1">
        <f t="shared" si="5"/>
        <v>16.728099999999998</v>
      </c>
      <c r="AP35" s="1">
        <f t="shared" si="5"/>
        <v>17.556100000000001</v>
      </c>
      <c r="AQ35" s="1">
        <f t="shared" si="5"/>
        <v>18.4041</v>
      </c>
      <c r="AR35" s="1">
        <f t="shared" si="5"/>
        <v>19.272099999999998</v>
      </c>
      <c r="AS35" s="1">
        <f t="shared" si="5"/>
        <v>20.160099999999996</v>
      </c>
    </row>
    <row r="36" spans="1:45" x14ac:dyDescent="0.25">
      <c r="B36" s="2">
        <v>40</v>
      </c>
      <c r="D36" s="4">
        <f>(121-5000/(45+$B$36*2))*C42*0.1</f>
        <v>16.2</v>
      </c>
      <c r="E36" s="5">
        <f t="shared" ref="E36:T39" si="6">(IF(E24&gt;0,0,E24)^2)/100</f>
        <v>0</v>
      </c>
      <c r="F36" s="5">
        <f t="shared" si="6"/>
        <v>0</v>
      </c>
      <c r="G36" s="5">
        <f t="shared" si="6"/>
        <v>6.4000000000000116E-3</v>
      </c>
      <c r="H36" s="5">
        <f t="shared" si="6"/>
        <v>3.2400000000000026E-2</v>
      </c>
      <c r="I36" s="5">
        <f t="shared" si="6"/>
        <v>7.8400000000000039E-2</v>
      </c>
      <c r="J36" s="5">
        <f t="shared" si="6"/>
        <v>0.14440000000000006</v>
      </c>
      <c r="K36" s="5">
        <f t="shared" si="6"/>
        <v>0.23040000000000005</v>
      </c>
      <c r="L36" s="5">
        <f t="shared" si="6"/>
        <v>0.33640000000000009</v>
      </c>
      <c r="M36" s="5">
        <f t="shared" si="6"/>
        <v>0.46240000000000009</v>
      </c>
      <c r="N36" s="5">
        <f t="shared" si="6"/>
        <v>0.60840000000000005</v>
      </c>
      <c r="O36" s="5">
        <f t="shared" si="6"/>
        <v>0.68890000000000018</v>
      </c>
      <c r="P36" s="5">
        <f t="shared" si="6"/>
        <v>0.77440000000000009</v>
      </c>
      <c r="Q36" s="5">
        <f t="shared" si="6"/>
        <v>0.86490000000000011</v>
      </c>
      <c r="R36" s="5">
        <f t="shared" si="6"/>
        <v>0.96040000000000025</v>
      </c>
      <c r="S36" s="5">
        <f t="shared" si="6"/>
        <v>1.1664000000000001</v>
      </c>
      <c r="T36" s="5">
        <f t="shared" si="6"/>
        <v>1.3924000000000001</v>
      </c>
      <c r="U36" s="5">
        <f t="shared" si="5"/>
        <v>1.6384000000000003</v>
      </c>
      <c r="V36" s="5">
        <f t="shared" si="5"/>
        <v>1.9044000000000003</v>
      </c>
      <c r="W36" s="5">
        <f t="shared" si="5"/>
        <v>2.1904000000000003</v>
      </c>
      <c r="X36" s="5">
        <f t="shared" si="5"/>
        <v>2.4964</v>
      </c>
      <c r="Y36" s="5">
        <f t="shared" si="5"/>
        <v>2.8224</v>
      </c>
      <c r="Z36" s="5">
        <f t="shared" si="5"/>
        <v>3.1684000000000001</v>
      </c>
      <c r="AA36" s="5">
        <f t="shared" si="5"/>
        <v>3.5344000000000007</v>
      </c>
      <c r="AB36" s="5">
        <f t="shared" si="5"/>
        <v>3.9204000000000003</v>
      </c>
      <c r="AC36" s="5">
        <f t="shared" si="5"/>
        <v>4.3264000000000005</v>
      </c>
      <c r="AD36" s="5">
        <f t="shared" si="5"/>
        <v>4.7523999999999997</v>
      </c>
      <c r="AE36" s="5">
        <f t="shared" si="5"/>
        <v>5.1984000000000004</v>
      </c>
      <c r="AF36" s="5">
        <f t="shared" si="5"/>
        <v>5.6644000000000005</v>
      </c>
      <c r="AG36" s="5">
        <f t="shared" si="5"/>
        <v>6.1504000000000012</v>
      </c>
      <c r="AH36" s="5">
        <f t="shared" si="5"/>
        <v>6.6563999999999997</v>
      </c>
      <c r="AI36" s="5">
        <f t="shared" si="5"/>
        <v>7.1824000000000003</v>
      </c>
      <c r="AJ36" s="5">
        <f t="shared" si="5"/>
        <v>7.7284000000000006</v>
      </c>
      <c r="AK36" s="5">
        <f t="shared" si="5"/>
        <v>8.2944000000000013</v>
      </c>
      <c r="AL36" s="5">
        <f t="shared" si="5"/>
        <v>8.8804000000000016</v>
      </c>
      <c r="AM36" s="5">
        <f t="shared" si="5"/>
        <v>9.4864000000000015</v>
      </c>
      <c r="AN36" s="5">
        <f t="shared" si="5"/>
        <v>10.112400000000001</v>
      </c>
      <c r="AO36" s="5">
        <f t="shared" si="5"/>
        <v>10.7584</v>
      </c>
      <c r="AP36" s="5">
        <f t="shared" si="5"/>
        <v>11.424399999999999</v>
      </c>
      <c r="AQ36" s="5">
        <f t="shared" si="5"/>
        <v>12.110399999999997</v>
      </c>
      <c r="AR36" s="5">
        <f t="shared" si="5"/>
        <v>12.816399999999998</v>
      </c>
      <c r="AS36" s="5">
        <f t="shared" si="5"/>
        <v>13.542399999999997</v>
      </c>
    </row>
    <row r="37" spans="1:45" x14ac:dyDescent="0.25">
      <c r="A37" s="8" t="s">
        <v>0</v>
      </c>
      <c r="B37" s="2">
        <v>100</v>
      </c>
      <c r="D37" s="4">
        <f>(121-5000/(45+$B$36*2))*C43*0.1</f>
        <v>24.3</v>
      </c>
      <c r="E37" s="1">
        <f t="shared" si="6"/>
        <v>0</v>
      </c>
      <c r="F37" s="1">
        <f t="shared" si="5"/>
        <v>0</v>
      </c>
      <c r="G37" s="1">
        <f t="shared" si="5"/>
        <v>0</v>
      </c>
      <c r="H37" s="1">
        <f t="shared" si="5"/>
        <v>0</v>
      </c>
      <c r="I37" s="1">
        <f t="shared" si="5"/>
        <v>0</v>
      </c>
      <c r="J37" s="1">
        <f t="shared" si="5"/>
        <v>0</v>
      </c>
      <c r="K37" s="1">
        <f t="shared" si="5"/>
        <v>0</v>
      </c>
      <c r="L37" s="1">
        <f t="shared" si="5"/>
        <v>0</v>
      </c>
      <c r="M37" s="1">
        <f t="shared" si="5"/>
        <v>0</v>
      </c>
      <c r="N37" s="1">
        <f t="shared" si="5"/>
        <v>0</v>
      </c>
      <c r="O37" s="1">
        <f t="shared" si="5"/>
        <v>3.9999999999999715E-4</v>
      </c>
      <c r="P37" s="1">
        <f t="shared" si="5"/>
        <v>4.8999999999999903E-3</v>
      </c>
      <c r="Q37" s="1">
        <f t="shared" si="5"/>
        <v>1.4399999999999984E-2</v>
      </c>
      <c r="R37" s="1">
        <f t="shared" si="5"/>
        <v>2.8899999999999974E-2</v>
      </c>
      <c r="S37" s="1">
        <f t="shared" si="5"/>
        <v>7.2899999999999965E-2</v>
      </c>
      <c r="T37" s="1">
        <f t="shared" si="5"/>
        <v>0.13689999999999994</v>
      </c>
      <c r="U37" s="1">
        <f t="shared" si="5"/>
        <v>0.22089999999999993</v>
      </c>
      <c r="V37" s="1">
        <f t="shared" si="5"/>
        <v>0.32489999999999997</v>
      </c>
      <c r="W37" s="1">
        <f t="shared" si="5"/>
        <v>0.44889999999999991</v>
      </c>
      <c r="X37" s="1">
        <f t="shared" si="5"/>
        <v>0.59289999999999987</v>
      </c>
      <c r="Y37" s="1">
        <f t="shared" si="5"/>
        <v>0.7568999999999998</v>
      </c>
      <c r="Z37" s="1">
        <f t="shared" si="5"/>
        <v>0.94089999999999985</v>
      </c>
      <c r="AA37" s="1">
        <f t="shared" si="5"/>
        <v>1.1448999999999998</v>
      </c>
      <c r="AB37" s="1">
        <f t="shared" si="5"/>
        <v>1.3688999999999998</v>
      </c>
      <c r="AC37" s="1">
        <f t="shared" si="5"/>
        <v>1.6129</v>
      </c>
      <c r="AD37" s="1">
        <f t="shared" si="5"/>
        <v>1.8768999999999998</v>
      </c>
      <c r="AE37" s="1">
        <f t="shared" si="5"/>
        <v>2.1608999999999998</v>
      </c>
      <c r="AF37" s="1">
        <f t="shared" si="5"/>
        <v>2.4648999999999996</v>
      </c>
      <c r="AG37" s="1">
        <f t="shared" si="5"/>
        <v>2.7888999999999999</v>
      </c>
      <c r="AH37" s="1">
        <f t="shared" si="5"/>
        <v>3.1328999999999998</v>
      </c>
      <c r="AI37" s="1">
        <f t="shared" si="5"/>
        <v>3.4969000000000001</v>
      </c>
      <c r="AJ37" s="1">
        <f t="shared" si="5"/>
        <v>3.8808999999999996</v>
      </c>
      <c r="AK37" s="1">
        <f t="shared" si="5"/>
        <v>4.2848999999999995</v>
      </c>
      <c r="AL37" s="1">
        <f t="shared" si="5"/>
        <v>4.7088999999999999</v>
      </c>
      <c r="AM37" s="1">
        <f t="shared" si="5"/>
        <v>5.1528999999999998</v>
      </c>
      <c r="AN37" s="1">
        <f t="shared" si="5"/>
        <v>5.6168999999999993</v>
      </c>
      <c r="AO37" s="1">
        <f t="shared" si="5"/>
        <v>6.1008999999999993</v>
      </c>
      <c r="AP37" s="1">
        <f t="shared" si="5"/>
        <v>6.6048999999999998</v>
      </c>
      <c r="AQ37" s="1">
        <f t="shared" si="5"/>
        <v>7.1288999999999998</v>
      </c>
      <c r="AR37" s="1">
        <f t="shared" si="5"/>
        <v>7.6728999999999994</v>
      </c>
      <c r="AS37" s="1">
        <f t="shared" si="5"/>
        <v>8.2368999999999986</v>
      </c>
    </row>
    <row r="38" spans="1:45" x14ac:dyDescent="0.25">
      <c r="D38" s="4">
        <f>(121-5000/(45+$B$36*2))*C44*0.1</f>
        <v>28.35</v>
      </c>
      <c r="E38" s="5">
        <f t="shared" si="6"/>
        <v>0</v>
      </c>
      <c r="F38" s="5">
        <f t="shared" si="5"/>
        <v>0</v>
      </c>
      <c r="G38" s="5">
        <f t="shared" si="5"/>
        <v>0</v>
      </c>
      <c r="H38" s="5">
        <f t="shared" si="5"/>
        <v>0</v>
      </c>
      <c r="I38" s="5">
        <f t="shared" si="5"/>
        <v>0</v>
      </c>
      <c r="J38" s="5">
        <f t="shared" si="5"/>
        <v>0</v>
      </c>
      <c r="K38" s="5">
        <f t="shared" si="5"/>
        <v>0</v>
      </c>
      <c r="L38" s="5">
        <f t="shared" si="5"/>
        <v>0</v>
      </c>
      <c r="M38" s="5">
        <f t="shared" si="5"/>
        <v>0</v>
      </c>
      <c r="N38" s="5">
        <f t="shared" si="5"/>
        <v>0</v>
      </c>
      <c r="O38" s="5">
        <f t="shared" si="5"/>
        <v>0</v>
      </c>
      <c r="P38" s="5">
        <f t="shared" si="5"/>
        <v>0</v>
      </c>
      <c r="Q38" s="5">
        <f t="shared" si="5"/>
        <v>0</v>
      </c>
      <c r="R38" s="5">
        <f t="shared" si="5"/>
        <v>0</v>
      </c>
      <c r="S38" s="5">
        <f t="shared" si="5"/>
        <v>0</v>
      </c>
      <c r="T38" s="5">
        <f t="shared" si="5"/>
        <v>0</v>
      </c>
      <c r="U38" s="5">
        <f t="shared" si="5"/>
        <v>4.2249999999999814E-3</v>
      </c>
      <c r="V38" s="5">
        <f t="shared" si="5"/>
        <v>2.7224999999999954E-2</v>
      </c>
      <c r="W38" s="5">
        <f t="shared" si="5"/>
        <v>7.0224999999999926E-2</v>
      </c>
      <c r="X38" s="5">
        <f t="shared" si="5"/>
        <v>0.1332249999999999</v>
      </c>
      <c r="Y38" s="5">
        <f t="shared" si="5"/>
        <v>0.21622499999999989</v>
      </c>
      <c r="Z38" s="5">
        <f t="shared" si="5"/>
        <v>0.31922499999999987</v>
      </c>
      <c r="AA38" s="5">
        <f t="shared" si="5"/>
        <v>0.44222499999999981</v>
      </c>
      <c r="AB38" s="5">
        <f t="shared" si="5"/>
        <v>0.58522499999999977</v>
      </c>
      <c r="AC38" s="5">
        <f t="shared" si="5"/>
        <v>0.74822499999999981</v>
      </c>
      <c r="AD38" s="5">
        <f t="shared" si="5"/>
        <v>0.93122499999999975</v>
      </c>
      <c r="AE38" s="5">
        <f t="shared" si="5"/>
        <v>1.1342249999999998</v>
      </c>
      <c r="AF38" s="5">
        <f t="shared" si="5"/>
        <v>1.3572249999999997</v>
      </c>
      <c r="AG38" s="5">
        <f t="shared" si="5"/>
        <v>1.6002249999999996</v>
      </c>
      <c r="AH38" s="5">
        <f t="shared" si="5"/>
        <v>1.8632249999999997</v>
      </c>
      <c r="AI38" s="5">
        <f t="shared" si="5"/>
        <v>2.1462249999999994</v>
      </c>
      <c r="AJ38" s="5">
        <f t="shared" si="5"/>
        <v>2.4492249999999998</v>
      </c>
      <c r="AK38" s="5">
        <f t="shared" si="5"/>
        <v>2.7722249999999997</v>
      </c>
      <c r="AL38" s="5">
        <f t="shared" si="5"/>
        <v>3.1152249999999992</v>
      </c>
      <c r="AM38" s="5">
        <f t="shared" si="5"/>
        <v>3.4782249999999992</v>
      </c>
      <c r="AN38" s="5">
        <f t="shared" si="5"/>
        <v>3.8612249999999992</v>
      </c>
      <c r="AO38" s="5">
        <f t="shared" si="5"/>
        <v>4.2642249999999997</v>
      </c>
      <c r="AP38" s="5">
        <f t="shared" si="5"/>
        <v>4.6872249999999989</v>
      </c>
      <c r="AQ38" s="5">
        <f t="shared" si="5"/>
        <v>5.1302249999999994</v>
      </c>
      <c r="AR38" s="5">
        <f t="shared" si="5"/>
        <v>5.5932249999999986</v>
      </c>
      <c r="AS38" s="5">
        <f t="shared" si="5"/>
        <v>6.0762249999999991</v>
      </c>
    </row>
    <row r="39" spans="1:45" x14ac:dyDescent="0.25">
      <c r="D39" s="4">
        <f>(121-5000/(45+$B$36*2))*C45*0.1</f>
        <v>32.4</v>
      </c>
      <c r="E39" s="1">
        <f t="shared" si="6"/>
        <v>0</v>
      </c>
      <c r="F39" s="1">
        <f t="shared" si="5"/>
        <v>0</v>
      </c>
      <c r="G39" s="1">
        <f t="shared" si="5"/>
        <v>0</v>
      </c>
      <c r="H39" s="1">
        <f t="shared" si="5"/>
        <v>0</v>
      </c>
      <c r="I39" s="1">
        <f t="shared" si="5"/>
        <v>0</v>
      </c>
      <c r="J39" s="1">
        <f t="shared" si="5"/>
        <v>0</v>
      </c>
      <c r="K39" s="1">
        <f t="shared" si="5"/>
        <v>0</v>
      </c>
      <c r="L39" s="1">
        <f t="shared" si="5"/>
        <v>0</v>
      </c>
      <c r="M39" s="1">
        <f t="shared" si="5"/>
        <v>0</v>
      </c>
      <c r="N39" s="1">
        <f t="shared" si="5"/>
        <v>0</v>
      </c>
      <c r="O39" s="1">
        <f t="shared" si="5"/>
        <v>0</v>
      </c>
      <c r="P39" s="1">
        <f t="shared" si="5"/>
        <v>0</v>
      </c>
      <c r="Q39" s="1">
        <f t="shared" si="5"/>
        <v>0</v>
      </c>
      <c r="R39" s="1">
        <f t="shared" si="5"/>
        <v>0</v>
      </c>
      <c r="S39" s="1">
        <f t="shared" si="5"/>
        <v>0</v>
      </c>
      <c r="T39" s="1">
        <f t="shared" si="5"/>
        <v>0</v>
      </c>
      <c r="U39" s="1">
        <f t="shared" si="5"/>
        <v>0</v>
      </c>
      <c r="V39" s="1">
        <f t="shared" si="5"/>
        <v>0</v>
      </c>
      <c r="W39" s="1">
        <f t="shared" si="5"/>
        <v>0</v>
      </c>
      <c r="X39" s="1">
        <f t="shared" si="5"/>
        <v>0</v>
      </c>
      <c r="Y39" s="1">
        <f t="shared" si="5"/>
        <v>3.6000000000000172E-3</v>
      </c>
      <c r="Z39" s="1">
        <f t="shared" si="5"/>
        <v>2.5600000000000046E-2</v>
      </c>
      <c r="AA39" s="1">
        <f t="shared" si="5"/>
        <v>6.7600000000000077E-2</v>
      </c>
      <c r="AB39" s="1">
        <f t="shared" si="5"/>
        <v>0.1296000000000001</v>
      </c>
      <c r="AC39" s="1">
        <f t="shared" si="5"/>
        <v>0.21160000000000015</v>
      </c>
      <c r="AD39" s="1">
        <f t="shared" si="5"/>
        <v>0.31360000000000016</v>
      </c>
      <c r="AE39" s="1">
        <f t="shared" si="5"/>
        <v>0.43560000000000015</v>
      </c>
      <c r="AF39" s="1">
        <f t="shared" si="5"/>
        <v>0.57760000000000022</v>
      </c>
      <c r="AG39" s="1">
        <f t="shared" si="5"/>
        <v>0.73960000000000026</v>
      </c>
      <c r="AH39" s="1">
        <f t="shared" si="5"/>
        <v>0.9216000000000002</v>
      </c>
      <c r="AI39" s="1">
        <f t="shared" si="5"/>
        <v>1.1236000000000004</v>
      </c>
      <c r="AJ39" s="1">
        <f t="shared" si="5"/>
        <v>1.3456000000000004</v>
      </c>
      <c r="AK39" s="1">
        <f t="shared" si="5"/>
        <v>1.5876000000000006</v>
      </c>
      <c r="AL39" s="1">
        <f t="shared" si="5"/>
        <v>1.8496000000000004</v>
      </c>
      <c r="AM39" s="1">
        <f t="shared" si="5"/>
        <v>2.1316000000000006</v>
      </c>
      <c r="AN39" s="1">
        <f t="shared" si="5"/>
        <v>2.4336000000000002</v>
      </c>
      <c r="AO39" s="1">
        <f t="shared" si="5"/>
        <v>2.7556000000000007</v>
      </c>
      <c r="AP39" s="1">
        <f t="shared" si="5"/>
        <v>3.0976000000000004</v>
      </c>
      <c r="AQ39" s="1">
        <f t="shared" si="5"/>
        <v>3.4596000000000005</v>
      </c>
      <c r="AR39" s="1">
        <f t="shared" si="5"/>
        <v>3.841600000000001</v>
      </c>
      <c r="AS39" s="1">
        <f t="shared" si="5"/>
        <v>4.2436000000000007</v>
      </c>
    </row>
    <row r="40" spans="1:45" x14ac:dyDescent="0.25">
      <c r="A40" s="6" t="s">
        <v>26</v>
      </c>
      <c r="B40" s="7" t="s">
        <v>1</v>
      </c>
      <c r="C40" s="7" t="s">
        <v>3</v>
      </c>
      <c r="D40" s="7" t="s">
        <v>2</v>
      </c>
      <c r="E40" s="7">
        <v>0</v>
      </c>
      <c r="F40" s="7">
        <v>1</v>
      </c>
      <c r="G40" s="7">
        <v>2</v>
      </c>
      <c r="H40" s="7">
        <v>3</v>
      </c>
      <c r="I40" s="7">
        <v>4</v>
      </c>
      <c r="J40" s="7">
        <v>5</v>
      </c>
      <c r="K40" s="7">
        <v>6</v>
      </c>
      <c r="L40" s="7">
        <v>7</v>
      </c>
      <c r="M40" s="7">
        <v>8</v>
      </c>
      <c r="N40" s="7">
        <v>9</v>
      </c>
      <c r="O40" s="7">
        <v>9.5</v>
      </c>
      <c r="P40" s="7">
        <v>10</v>
      </c>
      <c r="Q40" s="7">
        <v>10.5</v>
      </c>
      <c r="R40" s="7">
        <v>11</v>
      </c>
      <c r="S40" s="7">
        <v>12</v>
      </c>
      <c r="T40" s="7">
        <v>13</v>
      </c>
      <c r="U40" s="7">
        <v>14</v>
      </c>
      <c r="V40" s="7">
        <v>15</v>
      </c>
      <c r="W40" s="7">
        <v>16</v>
      </c>
      <c r="X40" s="7">
        <v>17</v>
      </c>
      <c r="Y40" s="7">
        <v>18</v>
      </c>
      <c r="Z40" s="7">
        <v>19</v>
      </c>
      <c r="AA40" s="7">
        <v>20</v>
      </c>
      <c r="AB40" s="7">
        <v>21</v>
      </c>
      <c r="AC40" s="7">
        <v>22</v>
      </c>
      <c r="AD40" s="7">
        <v>23</v>
      </c>
      <c r="AE40" s="7">
        <v>24</v>
      </c>
      <c r="AF40" s="7">
        <v>25</v>
      </c>
      <c r="AG40" s="7">
        <v>26</v>
      </c>
      <c r="AH40" s="7">
        <v>27</v>
      </c>
      <c r="AI40" s="7">
        <v>28</v>
      </c>
      <c r="AJ40" s="7">
        <v>29</v>
      </c>
      <c r="AK40" s="7">
        <v>30</v>
      </c>
      <c r="AL40" s="7">
        <v>31</v>
      </c>
      <c r="AM40" s="7">
        <v>32</v>
      </c>
      <c r="AN40" s="7">
        <v>33</v>
      </c>
      <c r="AO40" s="7">
        <v>34</v>
      </c>
      <c r="AP40" s="7">
        <v>35</v>
      </c>
      <c r="AQ40" s="7">
        <v>36</v>
      </c>
      <c r="AR40" s="7">
        <v>37</v>
      </c>
      <c r="AS40" s="7">
        <v>38</v>
      </c>
    </row>
    <row r="41" spans="1:45" x14ac:dyDescent="0.25">
      <c r="A41" s="2">
        <v>0.95</v>
      </c>
      <c r="B41">
        <f>1-A41</f>
        <v>5.0000000000000044E-2</v>
      </c>
      <c r="C41" s="2">
        <v>1</v>
      </c>
      <c r="D41" s="9">
        <f>(121-5000/(45+$B$37*2))*C41*0.1</f>
        <v>10.05918367346939</v>
      </c>
      <c r="E41" s="1">
        <f>(IF(E51&gt;0,0,E51)^2)/100</f>
        <v>0.24411665972511437</v>
      </c>
      <c r="F41" s="1">
        <f t="shared" ref="F41:N45" si="7">(IF(F51&gt;0,0,F51)^2)/100</f>
        <v>0.35293298625572656</v>
      </c>
      <c r="G41" s="1">
        <f t="shared" si="7"/>
        <v>0.48174931278633876</v>
      </c>
      <c r="H41" s="1">
        <f t="shared" si="7"/>
        <v>0.63056563931695098</v>
      </c>
      <c r="I41" s="1">
        <f t="shared" si="7"/>
        <v>0.79938196584756316</v>
      </c>
      <c r="J41" s="1">
        <f t="shared" si="7"/>
        <v>0.98819829237817547</v>
      </c>
      <c r="K41" s="1">
        <f t="shared" si="7"/>
        <v>1.1970146189087876</v>
      </c>
      <c r="L41" s="1">
        <f t="shared" si="7"/>
        <v>1.4258309454393998</v>
      </c>
      <c r="M41" s="1">
        <f t="shared" si="7"/>
        <v>1.6746472719700121</v>
      </c>
      <c r="N41" s="1">
        <f t="shared" si="7"/>
        <v>1.9434635985006241</v>
      </c>
      <c r="O41" s="1">
        <f t="shared" ref="O41" si="8">(IF(O51&gt;0,0,O51)^2)/100</f>
        <v>2.0853717617659302</v>
      </c>
      <c r="P41" s="1">
        <f t="shared" ref="P41:AH41" si="9">(IF(P51&gt;0,0,P51)^2)/100</f>
        <v>2.2322799250312362</v>
      </c>
      <c r="Q41" s="1">
        <f t="shared" si="9"/>
        <v>2.3841880882965425</v>
      </c>
      <c r="R41" s="1">
        <f t="shared" si="9"/>
        <v>2.5410962515618487</v>
      </c>
      <c r="S41" s="1">
        <f t="shared" si="9"/>
        <v>2.8699125780924599</v>
      </c>
      <c r="T41" s="1">
        <f t="shared" si="9"/>
        <v>3.218728904623072</v>
      </c>
      <c r="U41" s="1">
        <f t="shared" si="9"/>
        <v>3.5875452311536846</v>
      </c>
      <c r="V41" s="1">
        <f t="shared" si="9"/>
        <v>3.9763615576842968</v>
      </c>
      <c r="W41" s="1">
        <f t="shared" si="9"/>
        <v>4.3851778842149089</v>
      </c>
      <c r="X41" s="1">
        <f t="shared" si="9"/>
        <v>4.8139942107455207</v>
      </c>
      <c r="Y41" s="1">
        <f t="shared" si="9"/>
        <v>5.2628105372761329</v>
      </c>
      <c r="Z41" s="1">
        <f t="shared" si="9"/>
        <v>5.7316268638067456</v>
      </c>
      <c r="AA41" s="1">
        <f t="shared" si="9"/>
        <v>6.2204431903373578</v>
      </c>
      <c r="AB41" s="1">
        <f t="shared" si="9"/>
        <v>6.7292595168679705</v>
      </c>
      <c r="AC41" s="1">
        <f t="shared" si="9"/>
        <v>7.2580758433985819</v>
      </c>
      <c r="AD41" s="1">
        <f t="shared" si="9"/>
        <v>7.8068921699291947</v>
      </c>
      <c r="AE41" s="1">
        <f t="shared" si="9"/>
        <v>8.3757084964598061</v>
      </c>
      <c r="AF41" s="1">
        <f t="shared" si="9"/>
        <v>8.9645248229904198</v>
      </c>
      <c r="AG41" s="1">
        <f t="shared" si="9"/>
        <v>9.5733411495210312</v>
      </c>
      <c r="AH41" s="1">
        <f t="shared" si="9"/>
        <v>10.202157476051644</v>
      </c>
      <c r="AI41" s="1">
        <f t="shared" ref="AI41:AK41" si="10">(IF(AI51&gt;0,0,AI51)^2)/100</f>
        <v>10.850973802582255</v>
      </c>
      <c r="AJ41" s="1">
        <f t="shared" si="10"/>
        <v>11.519790129112867</v>
      </c>
      <c r="AK41" s="1">
        <f t="shared" si="10"/>
        <v>12.20860645564348</v>
      </c>
      <c r="AL41" s="1">
        <f t="shared" ref="AL41:AS41" si="11">(IF(AL51&gt;0,0,AL51)^2)/100</f>
        <v>12.917422782174093</v>
      </c>
      <c r="AM41" s="1">
        <f t="shared" si="11"/>
        <v>13.646239108704703</v>
      </c>
      <c r="AN41" s="1">
        <f t="shared" si="11"/>
        <v>14.395055435235315</v>
      </c>
      <c r="AO41" s="1">
        <f t="shared" si="11"/>
        <v>15.163871761765929</v>
      </c>
      <c r="AP41" s="1">
        <f t="shared" si="11"/>
        <v>15.95268808829654</v>
      </c>
      <c r="AQ41" s="1">
        <f t="shared" si="11"/>
        <v>16.761504414827151</v>
      </c>
      <c r="AR41" s="1">
        <f t="shared" si="11"/>
        <v>17.590320741357765</v>
      </c>
      <c r="AS41" s="1">
        <f t="shared" si="11"/>
        <v>18.439137067888378</v>
      </c>
    </row>
    <row r="42" spans="1:45" x14ac:dyDescent="0.25">
      <c r="A42" s="2">
        <v>0.9</v>
      </c>
      <c r="B42">
        <f>1-A42</f>
        <v>9.9999999999999978E-2</v>
      </c>
      <c r="C42" s="2">
        <v>2</v>
      </c>
      <c r="D42" s="9">
        <f>(121-5000/(45+$B$37*2))*C42*0.1</f>
        <v>20.118367346938779</v>
      </c>
      <c r="E42" s="5">
        <f>(IF(E52&gt;0,0,E52)^2)/100</f>
        <v>0</v>
      </c>
      <c r="F42" s="5">
        <f t="shared" ref="F42:N42" si="12">(IF(F52&gt;0,0,F52)^2)/100</f>
        <v>0</v>
      </c>
      <c r="G42" s="5">
        <f t="shared" si="12"/>
        <v>0</v>
      </c>
      <c r="H42" s="5">
        <f t="shared" si="12"/>
        <v>0</v>
      </c>
      <c r="I42" s="5">
        <f t="shared" si="12"/>
        <v>0</v>
      </c>
      <c r="J42" s="5">
        <f t="shared" si="12"/>
        <v>0</v>
      </c>
      <c r="K42" s="5">
        <f t="shared" si="12"/>
        <v>7.7727613494376702E-3</v>
      </c>
      <c r="L42" s="5">
        <f t="shared" si="12"/>
        <v>3.5405414410662084E-2</v>
      </c>
      <c r="M42" s="5">
        <f t="shared" si="12"/>
        <v>8.3038067471886509E-2</v>
      </c>
      <c r="N42" s="5">
        <f t="shared" si="12"/>
        <v>0.15067072053311092</v>
      </c>
      <c r="O42" s="5">
        <f t="shared" ref="O42" si="13">(IF(O52&gt;0,0,O52)^2)/100</f>
        <v>0.19198704706372316</v>
      </c>
      <c r="P42" s="5">
        <f t="shared" ref="P42:AH42" si="14">(IF(P52&gt;0,0,P52)^2)/100</f>
        <v>0.23830337359433534</v>
      </c>
      <c r="Q42" s="5">
        <f t="shared" si="14"/>
        <v>0.28961970012494759</v>
      </c>
      <c r="R42" s="5">
        <f t="shared" si="14"/>
        <v>0.34593602665555978</v>
      </c>
      <c r="S42" s="5">
        <f t="shared" si="14"/>
        <v>0.47356867971678418</v>
      </c>
      <c r="T42" s="5">
        <f t="shared" si="14"/>
        <v>0.6212013327780086</v>
      </c>
      <c r="U42" s="5">
        <f t="shared" si="14"/>
        <v>0.78883398583923292</v>
      </c>
      <c r="V42" s="5">
        <f t="shared" si="14"/>
        <v>0.97646663890045748</v>
      </c>
      <c r="W42" s="5">
        <f t="shared" si="14"/>
        <v>1.1840992919616817</v>
      </c>
      <c r="X42" s="5">
        <f t="shared" si="14"/>
        <v>1.4117319450229062</v>
      </c>
      <c r="Y42" s="5">
        <f t="shared" si="14"/>
        <v>1.6593645980841307</v>
      </c>
      <c r="Z42" s="5">
        <f t="shared" si="14"/>
        <v>1.926997251145355</v>
      </c>
      <c r="AA42" s="5">
        <f t="shared" si="14"/>
        <v>2.2146299042065793</v>
      </c>
      <c r="AB42" s="5">
        <f t="shared" si="14"/>
        <v>2.5222625572678039</v>
      </c>
      <c r="AC42" s="5">
        <f t="shared" si="14"/>
        <v>2.849895210329028</v>
      </c>
      <c r="AD42" s="5">
        <f t="shared" si="14"/>
        <v>3.1975278633902526</v>
      </c>
      <c r="AE42" s="5">
        <f t="shared" si="14"/>
        <v>3.5651605164514772</v>
      </c>
      <c r="AF42" s="5">
        <f t="shared" si="14"/>
        <v>3.9527931695127019</v>
      </c>
      <c r="AG42" s="5">
        <f t="shared" si="14"/>
        <v>4.3604258225739265</v>
      </c>
      <c r="AH42" s="5">
        <f t="shared" si="14"/>
        <v>4.7880584756351503</v>
      </c>
      <c r="AI42" s="5">
        <f t="shared" ref="AI42:AK42" si="15">(IF(AI52&gt;0,0,AI52)^2)/100</f>
        <v>5.2356911286963745</v>
      </c>
      <c r="AJ42" s="5">
        <f t="shared" si="15"/>
        <v>5.7033237817575992</v>
      </c>
      <c r="AK42" s="5">
        <f t="shared" si="15"/>
        <v>6.1909564348188235</v>
      </c>
      <c r="AL42" s="5">
        <f t="shared" ref="AL42:AS42" si="16">(IF(AL52&gt;0,0,AL52)^2)/100</f>
        <v>6.6985890878800483</v>
      </c>
      <c r="AM42" s="5">
        <f t="shared" si="16"/>
        <v>7.2262217409412726</v>
      </c>
      <c r="AN42" s="5">
        <f t="shared" si="16"/>
        <v>7.7738543940024964</v>
      </c>
      <c r="AO42" s="5">
        <f t="shared" si="16"/>
        <v>8.3414870470637208</v>
      </c>
      <c r="AP42" s="5">
        <f t="shared" si="16"/>
        <v>8.9291197001249447</v>
      </c>
      <c r="AQ42" s="5">
        <f t="shared" si="16"/>
        <v>9.53675235318617</v>
      </c>
      <c r="AR42" s="5">
        <f t="shared" si="16"/>
        <v>10.164385006247395</v>
      </c>
      <c r="AS42" s="5">
        <f t="shared" si="16"/>
        <v>10.812017659308617</v>
      </c>
    </row>
    <row r="43" spans="1:45" x14ac:dyDescent="0.25">
      <c r="A43" s="2">
        <v>0.8</v>
      </c>
      <c r="B43">
        <f>1-A43</f>
        <v>0.19999999999999996</v>
      </c>
      <c r="C43" s="2">
        <v>3</v>
      </c>
      <c r="D43" s="9">
        <f>(121-5000/(45+$B$37*2))*C43*0.1</f>
        <v>30.177551020408171</v>
      </c>
      <c r="E43" s="1">
        <f>(IF(E53&gt;0,0,E53)^2)/100</f>
        <v>0</v>
      </c>
      <c r="F43" s="1">
        <f t="shared" si="7"/>
        <v>0</v>
      </c>
      <c r="G43" s="1">
        <f t="shared" si="7"/>
        <v>0</v>
      </c>
      <c r="H43" s="1">
        <f t="shared" si="7"/>
        <v>0</v>
      </c>
      <c r="I43" s="1">
        <f t="shared" si="7"/>
        <v>0</v>
      </c>
      <c r="J43" s="1">
        <f t="shared" si="7"/>
        <v>0</v>
      </c>
      <c r="K43" s="1">
        <f t="shared" si="7"/>
        <v>0</v>
      </c>
      <c r="L43" s="1">
        <f t="shared" si="7"/>
        <v>0</v>
      </c>
      <c r="M43" s="1">
        <f t="shared" si="7"/>
        <v>0</v>
      </c>
      <c r="N43" s="1">
        <f t="shared" si="7"/>
        <v>0</v>
      </c>
      <c r="O43" s="1">
        <f t="shared" ref="O43" si="17">(IF(O53&gt;0,0,O53)^2)/100</f>
        <v>0</v>
      </c>
      <c r="P43" s="1">
        <f t="shared" ref="P43:AH43" si="18">(IF(P53&gt;0,0,P53)^2)/100</f>
        <v>0</v>
      </c>
      <c r="Q43" s="1">
        <f t="shared" si="18"/>
        <v>0</v>
      </c>
      <c r="R43" s="1">
        <f t="shared" si="18"/>
        <v>0</v>
      </c>
      <c r="S43" s="1">
        <f t="shared" si="18"/>
        <v>0</v>
      </c>
      <c r="T43" s="1">
        <f t="shared" si="18"/>
        <v>0</v>
      </c>
      <c r="U43" s="1">
        <f t="shared" si="18"/>
        <v>0</v>
      </c>
      <c r="V43" s="1">
        <f t="shared" si="18"/>
        <v>0</v>
      </c>
      <c r="W43" s="1">
        <f t="shared" si="18"/>
        <v>6.7642232403164158E-3</v>
      </c>
      <c r="X43" s="1">
        <f t="shared" si="18"/>
        <v>3.3213202832153003E-2</v>
      </c>
      <c r="Y43" s="1">
        <f t="shared" si="18"/>
        <v>7.9662182423989591E-2</v>
      </c>
      <c r="Z43" s="1">
        <f t="shared" si="18"/>
        <v>0.14611116201582619</v>
      </c>
      <c r="AA43" s="1">
        <f t="shared" si="18"/>
        <v>0.23256014160766278</v>
      </c>
      <c r="AB43" s="1">
        <f t="shared" si="18"/>
        <v>0.33900912119949939</v>
      </c>
      <c r="AC43" s="1">
        <f t="shared" si="18"/>
        <v>0.46545810079133593</v>
      </c>
      <c r="AD43" s="1">
        <f t="shared" si="18"/>
        <v>0.61190708038317254</v>
      </c>
      <c r="AE43" s="1">
        <f t="shared" si="18"/>
        <v>0.77835605997500923</v>
      </c>
      <c r="AF43" s="1">
        <f t="shared" si="18"/>
        <v>0.96480503956684571</v>
      </c>
      <c r="AG43" s="1">
        <f t="shared" si="18"/>
        <v>1.1712540191586824</v>
      </c>
      <c r="AH43" s="1">
        <f t="shared" si="18"/>
        <v>1.397702998750519</v>
      </c>
      <c r="AI43" s="1">
        <f t="shared" ref="AI43:AK43" si="19">(IF(AI53&gt;0,0,AI53)^2)/100</f>
        <v>1.6441519783423555</v>
      </c>
      <c r="AJ43" s="1">
        <f t="shared" si="19"/>
        <v>1.910600957934192</v>
      </c>
      <c r="AK43" s="1">
        <f t="shared" si="19"/>
        <v>2.1970499375260286</v>
      </c>
      <c r="AL43" s="1">
        <f t="shared" ref="AL43:AS43" si="20">(IF(AL53&gt;0,0,AL53)^2)/100</f>
        <v>2.5034989171178652</v>
      </c>
      <c r="AM43" s="1">
        <f t="shared" si="20"/>
        <v>2.8299478967097018</v>
      </c>
      <c r="AN43" s="1">
        <f t="shared" si="20"/>
        <v>3.1763968763015384</v>
      </c>
      <c r="AO43" s="1">
        <f t="shared" si="20"/>
        <v>3.5428458558933751</v>
      </c>
      <c r="AP43" s="1">
        <f t="shared" si="20"/>
        <v>3.9292948354852113</v>
      </c>
      <c r="AQ43" s="1">
        <f t="shared" si="20"/>
        <v>4.3357438150770484</v>
      </c>
      <c r="AR43" s="1">
        <f t="shared" si="20"/>
        <v>4.7621927946688851</v>
      </c>
      <c r="AS43" s="1">
        <f t="shared" si="20"/>
        <v>5.2086417742607214</v>
      </c>
    </row>
    <row r="44" spans="1:45" x14ac:dyDescent="0.25">
      <c r="A44" s="2">
        <v>0.7</v>
      </c>
      <c r="B44">
        <f>1-A44</f>
        <v>0.30000000000000004</v>
      </c>
      <c r="C44" s="3">
        <v>3.5</v>
      </c>
      <c r="D44" s="9">
        <f>(121-5000/(45+$B$37*2))*C44*0.1</f>
        <v>35.207142857142863</v>
      </c>
      <c r="E44" s="5">
        <f>(IF(E54&gt;0,0,E54)^2)/100</f>
        <v>0</v>
      </c>
      <c r="F44" s="5">
        <f t="shared" si="7"/>
        <v>0</v>
      </c>
      <c r="G44" s="5">
        <f t="shared" si="7"/>
        <v>0</v>
      </c>
      <c r="H44" s="5">
        <f t="shared" si="7"/>
        <v>0</v>
      </c>
      <c r="I44" s="5">
        <f t="shared" si="7"/>
        <v>0</v>
      </c>
      <c r="J44" s="5">
        <f t="shared" si="7"/>
        <v>0</v>
      </c>
      <c r="K44" s="5">
        <f t="shared" si="7"/>
        <v>0</v>
      </c>
      <c r="L44" s="5">
        <f t="shared" si="7"/>
        <v>0</v>
      </c>
      <c r="M44" s="5">
        <f t="shared" si="7"/>
        <v>0</v>
      </c>
      <c r="N44" s="5">
        <f t="shared" si="7"/>
        <v>0</v>
      </c>
      <c r="O44" s="5">
        <f t="shared" ref="O44" si="21">(IF(O54&gt;0,0,O54)^2)/100</f>
        <v>0</v>
      </c>
      <c r="P44" s="5">
        <f t="shared" ref="P44:AH44" si="22">(IF(P54&gt;0,0,P54)^2)/100</f>
        <v>0</v>
      </c>
      <c r="Q44" s="5">
        <f t="shared" si="22"/>
        <v>0</v>
      </c>
      <c r="R44" s="5">
        <f t="shared" si="22"/>
        <v>0</v>
      </c>
      <c r="S44" s="5">
        <f t="shared" si="22"/>
        <v>0</v>
      </c>
      <c r="T44" s="5">
        <f t="shared" si="22"/>
        <v>0</v>
      </c>
      <c r="U44" s="5">
        <f t="shared" si="22"/>
        <v>0</v>
      </c>
      <c r="V44" s="5">
        <f t="shared" si="22"/>
        <v>0</v>
      </c>
      <c r="W44" s="5">
        <f t="shared" si="22"/>
        <v>0</v>
      </c>
      <c r="X44" s="5">
        <f t="shared" si="22"/>
        <v>0</v>
      </c>
      <c r="Y44" s="5">
        <f t="shared" si="22"/>
        <v>0</v>
      </c>
      <c r="Z44" s="5">
        <f t="shared" si="22"/>
        <v>0</v>
      </c>
      <c r="AA44" s="5">
        <f t="shared" si="22"/>
        <v>0</v>
      </c>
      <c r="AB44" s="5">
        <f t="shared" si="22"/>
        <v>6.2862244897958323E-3</v>
      </c>
      <c r="AC44" s="5">
        <f t="shared" si="22"/>
        <v>3.2143367346938581E-2</v>
      </c>
      <c r="AD44" s="5">
        <f t="shared" si="22"/>
        <v>7.800051020408133E-2</v>
      </c>
      <c r="AE44" s="5">
        <f t="shared" si="22"/>
        <v>0.14385765306122406</v>
      </c>
      <c r="AF44" s="5">
        <f t="shared" si="22"/>
        <v>0.22971479591836683</v>
      </c>
      <c r="AG44" s="5">
        <f t="shared" si="22"/>
        <v>0.33557193877550956</v>
      </c>
      <c r="AH44" s="5">
        <f t="shared" si="22"/>
        <v>0.46142908163265234</v>
      </c>
      <c r="AI44" s="5">
        <f t="shared" ref="AI44:AK44" si="23">(IF(AI54&gt;0,0,AI54)^2)/100</f>
        <v>0.60728622448979508</v>
      </c>
      <c r="AJ44" s="5">
        <f t="shared" si="23"/>
        <v>0.77314336734693778</v>
      </c>
      <c r="AK44" s="5">
        <f t="shared" si="23"/>
        <v>0.95900051020408061</v>
      </c>
      <c r="AL44" s="5">
        <f t="shared" ref="AL44:AS44" si="24">(IF(AL54&gt;0,0,AL54)^2)/100</f>
        <v>1.1648576530612234</v>
      </c>
      <c r="AM44" s="5">
        <f t="shared" si="24"/>
        <v>1.3907147959183661</v>
      </c>
      <c r="AN44" s="5">
        <f t="shared" si="24"/>
        <v>1.6365719387755087</v>
      </c>
      <c r="AO44" s="5">
        <f t="shared" si="24"/>
        <v>1.9024290816326515</v>
      </c>
      <c r="AP44" s="5">
        <f t="shared" si="24"/>
        <v>2.188286224489794</v>
      </c>
      <c r="AQ44" s="5">
        <f t="shared" si="24"/>
        <v>2.4941433673469371</v>
      </c>
      <c r="AR44" s="5">
        <f t="shared" si="24"/>
        <v>2.8200005102040797</v>
      </c>
      <c r="AS44" s="5">
        <f t="shared" si="24"/>
        <v>3.1658576530612224</v>
      </c>
    </row>
    <row r="45" spans="1:45" x14ac:dyDescent="0.25">
      <c r="A45" s="2">
        <v>0.65</v>
      </c>
      <c r="B45">
        <f>1-A45</f>
        <v>0.35</v>
      </c>
      <c r="C45" s="2">
        <v>4</v>
      </c>
      <c r="D45" s="9">
        <f>(121-5000/(45+$B$37*2))*C45*0.1</f>
        <v>40.236734693877558</v>
      </c>
      <c r="E45" s="1">
        <f>(IF(E55&gt;0,0,E55)^2)/100</f>
        <v>0</v>
      </c>
      <c r="F45" s="1">
        <f t="shared" si="7"/>
        <v>0</v>
      </c>
      <c r="G45" s="1">
        <f t="shared" si="7"/>
        <v>0</v>
      </c>
      <c r="H45" s="1">
        <f t="shared" si="7"/>
        <v>0</v>
      </c>
      <c r="I45" s="1">
        <f t="shared" si="7"/>
        <v>0</v>
      </c>
      <c r="J45" s="1">
        <f t="shared" si="7"/>
        <v>0</v>
      </c>
      <c r="K45" s="1">
        <f t="shared" si="7"/>
        <v>0</v>
      </c>
      <c r="L45" s="1">
        <f t="shared" si="7"/>
        <v>0</v>
      </c>
      <c r="M45" s="1">
        <f t="shared" si="7"/>
        <v>0</v>
      </c>
      <c r="N45" s="1">
        <f t="shared" si="7"/>
        <v>0</v>
      </c>
      <c r="O45" s="1">
        <f t="shared" ref="O45" si="25">(IF(O55&gt;0,0,O55)^2)/100</f>
        <v>0</v>
      </c>
      <c r="P45" s="1">
        <f t="shared" ref="P45:AH45" si="26">(IF(P55&gt;0,0,P55)^2)/100</f>
        <v>0</v>
      </c>
      <c r="Q45" s="1">
        <f t="shared" si="26"/>
        <v>0</v>
      </c>
      <c r="R45" s="1">
        <f t="shared" si="26"/>
        <v>0</v>
      </c>
      <c r="S45" s="1">
        <f t="shared" si="26"/>
        <v>0</v>
      </c>
      <c r="T45" s="1">
        <f t="shared" si="26"/>
        <v>0</v>
      </c>
      <c r="U45" s="1">
        <f t="shared" si="26"/>
        <v>0</v>
      </c>
      <c r="V45" s="1">
        <f t="shared" si="26"/>
        <v>0</v>
      </c>
      <c r="W45" s="1">
        <f t="shared" si="26"/>
        <v>0</v>
      </c>
      <c r="X45" s="1">
        <f t="shared" si="26"/>
        <v>0</v>
      </c>
      <c r="Y45" s="1">
        <f t="shared" si="26"/>
        <v>0</v>
      </c>
      <c r="Z45" s="1">
        <f t="shared" si="26"/>
        <v>0</v>
      </c>
      <c r="AA45" s="1">
        <f t="shared" si="26"/>
        <v>0</v>
      </c>
      <c r="AB45" s="1">
        <f t="shared" si="26"/>
        <v>0</v>
      </c>
      <c r="AC45" s="1">
        <f t="shared" si="26"/>
        <v>0</v>
      </c>
      <c r="AD45" s="1">
        <f t="shared" si="26"/>
        <v>0</v>
      </c>
      <c r="AE45" s="1">
        <f t="shared" si="26"/>
        <v>0</v>
      </c>
      <c r="AF45" s="1">
        <f t="shared" si="26"/>
        <v>0</v>
      </c>
      <c r="AG45" s="1">
        <f t="shared" si="26"/>
        <v>5.8257392753018463E-3</v>
      </c>
      <c r="AH45" s="1">
        <f t="shared" si="26"/>
        <v>3.1091045397750681E-2</v>
      </c>
      <c r="AI45" s="1">
        <f t="shared" ref="AI45:AK45" si="27">(IF(AI55&gt;0,0,AI55)^2)/100</f>
        <v>7.6356351520199511E-2</v>
      </c>
      <c r="AJ45" s="1">
        <f t="shared" si="27"/>
        <v>0.14162165764264834</v>
      </c>
      <c r="AK45" s="1">
        <f t="shared" si="27"/>
        <v>0.22688696376509718</v>
      </c>
      <c r="AL45" s="1">
        <f t="shared" ref="AL45:AS45" si="28">(IF(AL55&gt;0,0,AL55)^2)/100</f>
        <v>0.33215226988754604</v>
      </c>
      <c r="AM45" s="1">
        <f t="shared" si="28"/>
        <v>0.45741757600999483</v>
      </c>
      <c r="AN45" s="1">
        <f t="shared" si="28"/>
        <v>0.6026828821324437</v>
      </c>
      <c r="AO45" s="1">
        <f t="shared" si="28"/>
        <v>0.76794818825489264</v>
      </c>
      <c r="AP45" s="1">
        <f t="shared" si="28"/>
        <v>0.95321349437734137</v>
      </c>
      <c r="AQ45" s="1">
        <f t="shared" si="28"/>
        <v>1.1584788004997904</v>
      </c>
      <c r="AR45" s="1">
        <f t="shared" si="28"/>
        <v>1.3837441066222391</v>
      </c>
      <c r="AS45" s="1">
        <f t="shared" si="28"/>
        <v>1.6290094127446877</v>
      </c>
    </row>
    <row r="51" spans="5:45" x14ac:dyDescent="0.25">
      <c r="E51">
        <f t="shared" ref="E51:AS51" si="29">($D41-E$40-15)</f>
        <v>-4.9408163265306104</v>
      </c>
      <c r="F51">
        <f t="shared" si="29"/>
        <v>-5.9408163265306104</v>
      </c>
      <c r="G51">
        <f t="shared" si="29"/>
        <v>-6.9408163265306104</v>
      </c>
      <c r="H51">
        <f t="shared" si="29"/>
        <v>-7.9408163265306104</v>
      </c>
      <c r="I51">
        <f t="shared" si="29"/>
        <v>-8.9408163265306104</v>
      </c>
      <c r="J51">
        <f t="shared" si="29"/>
        <v>-9.9408163265306104</v>
      </c>
      <c r="K51">
        <f t="shared" si="29"/>
        <v>-10.94081632653061</v>
      </c>
      <c r="L51">
        <f t="shared" si="29"/>
        <v>-11.94081632653061</v>
      </c>
      <c r="M51">
        <f t="shared" si="29"/>
        <v>-12.94081632653061</v>
      </c>
      <c r="N51">
        <f t="shared" si="29"/>
        <v>-13.94081632653061</v>
      </c>
      <c r="O51">
        <f t="shared" si="29"/>
        <v>-14.44081632653061</v>
      </c>
      <c r="P51">
        <f t="shared" si="29"/>
        <v>-14.94081632653061</v>
      </c>
      <c r="Q51">
        <f t="shared" si="29"/>
        <v>-15.44081632653061</v>
      </c>
      <c r="R51">
        <f t="shared" si="29"/>
        <v>-15.94081632653061</v>
      </c>
      <c r="S51">
        <f t="shared" si="29"/>
        <v>-16.940816326530609</v>
      </c>
      <c r="T51">
        <f t="shared" si="29"/>
        <v>-17.940816326530609</v>
      </c>
      <c r="U51">
        <f t="shared" si="29"/>
        <v>-18.940816326530609</v>
      </c>
      <c r="V51">
        <f t="shared" si="29"/>
        <v>-19.940816326530609</v>
      </c>
      <c r="W51">
        <f t="shared" si="29"/>
        <v>-20.940816326530609</v>
      </c>
      <c r="X51">
        <f t="shared" si="29"/>
        <v>-21.940816326530609</v>
      </c>
      <c r="Y51">
        <f t="shared" si="29"/>
        <v>-22.940816326530609</v>
      </c>
      <c r="Z51">
        <f t="shared" si="29"/>
        <v>-23.940816326530609</v>
      </c>
      <c r="AA51">
        <f t="shared" si="29"/>
        <v>-24.940816326530609</v>
      </c>
      <c r="AB51">
        <f t="shared" si="29"/>
        <v>-25.940816326530609</v>
      </c>
      <c r="AC51">
        <f t="shared" si="29"/>
        <v>-26.940816326530609</v>
      </c>
      <c r="AD51">
        <f t="shared" si="29"/>
        <v>-27.940816326530609</v>
      </c>
      <c r="AE51">
        <f t="shared" si="29"/>
        <v>-28.940816326530609</v>
      </c>
      <c r="AF51">
        <f t="shared" si="29"/>
        <v>-29.940816326530609</v>
      </c>
      <c r="AG51">
        <f t="shared" si="29"/>
        <v>-30.940816326530609</v>
      </c>
      <c r="AH51">
        <f t="shared" si="29"/>
        <v>-31.940816326530609</v>
      </c>
      <c r="AI51">
        <f t="shared" si="29"/>
        <v>-32.940816326530609</v>
      </c>
      <c r="AJ51">
        <f t="shared" si="29"/>
        <v>-33.940816326530609</v>
      </c>
      <c r="AK51">
        <f t="shared" si="29"/>
        <v>-34.940816326530609</v>
      </c>
      <c r="AL51">
        <f t="shared" si="29"/>
        <v>-35.940816326530609</v>
      </c>
      <c r="AM51">
        <f t="shared" si="29"/>
        <v>-36.940816326530609</v>
      </c>
      <c r="AN51">
        <f t="shared" si="29"/>
        <v>-37.940816326530609</v>
      </c>
      <c r="AO51">
        <f t="shared" si="29"/>
        <v>-38.940816326530609</v>
      </c>
      <c r="AP51">
        <f t="shared" si="29"/>
        <v>-39.940816326530609</v>
      </c>
      <c r="AQ51">
        <f t="shared" si="29"/>
        <v>-40.940816326530609</v>
      </c>
      <c r="AR51">
        <f t="shared" si="29"/>
        <v>-41.940816326530609</v>
      </c>
      <c r="AS51">
        <f t="shared" si="29"/>
        <v>-42.940816326530609</v>
      </c>
    </row>
    <row r="52" spans="5:45" x14ac:dyDescent="0.25">
      <c r="E52">
        <f t="shared" ref="E52:AS52" si="30">($D42-E$40-15)</f>
        <v>5.1183673469387791</v>
      </c>
      <c r="F52">
        <f t="shared" si="30"/>
        <v>4.1183673469387791</v>
      </c>
      <c r="G52">
        <f t="shared" si="30"/>
        <v>3.1183673469387791</v>
      </c>
      <c r="H52">
        <f t="shared" si="30"/>
        <v>2.1183673469387791</v>
      </c>
      <c r="I52">
        <f t="shared" si="30"/>
        <v>1.1183673469387791</v>
      </c>
      <c r="J52">
        <f t="shared" si="30"/>
        <v>0.11836734693877915</v>
      </c>
      <c r="K52">
        <f t="shared" si="30"/>
        <v>-0.88163265306122085</v>
      </c>
      <c r="L52">
        <f t="shared" si="30"/>
        <v>-1.8816326530612209</v>
      </c>
      <c r="M52">
        <f t="shared" si="30"/>
        <v>-2.8816326530612209</v>
      </c>
      <c r="N52">
        <f t="shared" si="30"/>
        <v>-3.8816326530612209</v>
      </c>
      <c r="O52">
        <f t="shared" si="30"/>
        <v>-4.3816326530612209</v>
      </c>
      <c r="P52">
        <f t="shared" si="30"/>
        <v>-4.8816326530612209</v>
      </c>
      <c r="Q52">
        <f t="shared" si="30"/>
        <v>-5.3816326530612209</v>
      </c>
      <c r="R52">
        <f t="shared" si="30"/>
        <v>-5.8816326530612209</v>
      </c>
      <c r="S52">
        <f t="shared" si="30"/>
        <v>-6.8816326530612209</v>
      </c>
      <c r="T52">
        <f t="shared" si="30"/>
        <v>-7.8816326530612209</v>
      </c>
      <c r="U52">
        <f t="shared" si="30"/>
        <v>-8.8816326530612209</v>
      </c>
      <c r="V52">
        <f t="shared" si="30"/>
        <v>-9.8816326530612209</v>
      </c>
      <c r="W52">
        <f t="shared" si="30"/>
        <v>-10.881632653061221</v>
      </c>
      <c r="X52">
        <f t="shared" si="30"/>
        <v>-11.881632653061221</v>
      </c>
      <c r="Y52">
        <f t="shared" si="30"/>
        <v>-12.881632653061221</v>
      </c>
      <c r="Z52">
        <f t="shared" si="30"/>
        <v>-13.881632653061221</v>
      </c>
      <c r="AA52">
        <f t="shared" si="30"/>
        <v>-14.881632653061221</v>
      </c>
      <c r="AB52">
        <f t="shared" si="30"/>
        <v>-15.881632653061221</v>
      </c>
      <c r="AC52">
        <f t="shared" si="30"/>
        <v>-16.881632653061221</v>
      </c>
      <c r="AD52">
        <f t="shared" si="30"/>
        <v>-17.881632653061221</v>
      </c>
      <c r="AE52">
        <f t="shared" si="30"/>
        <v>-18.881632653061221</v>
      </c>
      <c r="AF52">
        <f t="shared" si="30"/>
        <v>-19.881632653061221</v>
      </c>
      <c r="AG52">
        <f t="shared" si="30"/>
        <v>-20.881632653061221</v>
      </c>
      <c r="AH52">
        <f t="shared" si="30"/>
        <v>-21.881632653061221</v>
      </c>
      <c r="AI52">
        <f t="shared" si="30"/>
        <v>-22.881632653061221</v>
      </c>
      <c r="AJ52">
        <f t="shared" si="30"/>
        <v>-23.881632653061221</v>
      </c>
      <c r="AK52">
        <f t="shared" si="30"/>
        <v>-24.881632653061221</v>
      </c>
      <c r="AL52">
        <f t="shared" si="30"/>
        <v>-25.881632653061221</v>
      </c>
      <c r="AM52">
        <f t="shared" si="30"/>
        <v>-26.881632653061221</v>
      </c>
      <c r="AN52">
        <f t="shared" si="30"/>
        <v>-27.881632653061221</v>
      </c>
      <c r="AO52">
        <f t="shared" si="30"/>
        <v>-28.881632653061221</v>
      </c>
      <c r="AP52">
        <f t="shared" si="30"/>
        <v>-29.881632653061221</v>
      </c>
      <c r="AQ52">
        <f t="shared" si="30"/>
        <v>-30.881632653061221</v>
      </c>
      <c r="AR52">
        <f t="shared" si="30"/>
        <v>-31.881632653061221</v>
      </c>
      <c r="AS52">
        <f t="shared" si="30"/>
        <v>-32.881632653061217</v>
      </c>
    </row>
    <row r="53" spans="5:45" x14ac:dyDescent="0.25">
      <c r="E53">
        <f>($D43-E$40-15)</f>
        <v>15.177551020408171</v>
      </c>
      <c r="F53">
        <f>($D43-F$40-15)</f>
        <v>14.177551020408171</v>
      </c>
      <c r="G53">
        <f>($D43-G$40-15)</f>
        <v>13.177551020408171</v>
      </c>
      <c r="H53">
        <f>($D43-H$40-15)</f>
        <v>12.177551020408171</v>
      </c>
      <c r="I53">
        <f>($D43-I$40-15)</f>
        <v>11.177551020408171</v>
      </c>
      <c r="J53">
        <f>($D43-J$40-15)</f>
        <v>10.177551020408171</v>
      </c>
      <c r="K53">
        <f>($D43-K$40-15)</f>
        <v>9.1775510204081705</v>
      </c>
      <c r="L53">
        <f>($D43-L$40-15)</f>
        <v>8.1775510204081705</v>
      </c>
      <c r="M53">
        <f>($D43-M$40-15)</f>
        <v>7.1775510204081705</v>
      </c>
      <c r="N53">
        <f>($D43-N$40-15)</f>
        <v>6.1775510204081705</v>
      </c>
      <c r="O53">
        <f>($D43-O$40-15)</f>
        <v>5.6775510204081705</v>
      </c>
      <c r="P53">
        <f>($D43-P$40-15)</f>
        <v>5.1775510204081705</v>
      </c>
      <c r="Q53">
        <f>($D43-Q$40-15)</f>
        <v>4.6775510204081705</v>
      </c>
      <c r="R53">
        <f>($D43-R$40-15)</f>
        <v>4.1775510204081705</v>
      </c>
      <c r="S53">
        <f>($D43-S$40-15)</f>
        <v>3.1775510204081705</v>
      </c>
      <c r="T53">
        <f>($D43-T$40-15)</f>
        <v>2.1775510204081705</v>
      </c>
      <c r="U53">
        <f>($D43-U$40-15)</f>
        <v>1.1775510204081705</v>
      </c>
      <c r="V53">
        <f>($D43-V$40-15)</f>
        <v>0.1775510204081705</v>
      </c>
      <c r="W53">
        <f>($D43-W$40-15)</f>
        <v>-0.8224489795918295</v>
      </c>
      <c r="X53">
        <f>($D43-X$40-15)</f>
        <v>-1.8224489795918295</v>
      </c>
      <c r="Y53">
        <f>($D43-Y$40-15)</f>
        <v>-2.8224489795918295</v>
      </c>
      <c r="Z53">
        <f>($D43-Z$40-15)</f>
        <v>-3.8224489795918295</v>
      </c>
      <c r="AA53">
        <f>($D43-AA$40-15)</f>
        <v>-4.8224489795918295</v>
      </c>
      <c r="AB53">
        <f>($D43-AB$40-15)</f>
        <v>-5.8224489795918295</v>
      </c>
      <c r="AC53">
        <f>($D43-AC$40-15)</f>
        <v>-6.8224489795918295</v>
      </c>
      <c r="AD53">
        <f>($D43-AD$40-15)</f>
        <v>-7.8224489795918295</v>
      </c>
      <c r="AE53">
        <f>($D43-AE$40-15)</f>
        <v>-8.8224489795918295</v>
      </c>
      <c r="AF53">
        <f>($D43-AF$40-15)</f>
        <v>-9.8224489795918295</v>
      </c>
      <c r="AG53">
        <f>($D43-AG$40-15)</f>
        <v>-10.822448979591829</v>
      </c>
      <c r="AH53">
        <f>($D43-AH$40-15)</f>
        <v>-11.822448979591829</v>
      </c>
      <c r="AI53">
        <f>($D43-AI$40-15)</f>
        <v>-12.822448979591829</v>
      </c>
      <c r="AJ53">
        <f>($D43-AJ$40-15)</f>
        <v>-13.822448979591829</v>
      </c>
      <c r="AK53">
        <f>($D43-AK$40-15)</f>
        <v>-14.822448979591829</v>
      </c>
      <c r="AL53">
        <f>($D43-AL$40-15)</f>
        <v>-15.822448979591829</v>
      </c>
      <c r="AM53">
        <f>($D43-AM$40-15)</f>
        <v>-16.822448979591829</v>
      </c>
      <c r="AN53">
        <f>($D43-AN$40-15)</f>
        <v>-17.822448979591829</v>
      </c>
      <c r="AO53">
        <f>($D43-AO$40-15)</f>
        <v>-18.822448979591829</v>
      </c>
      <c r="AP53">
        <f>($D43-AP$40-15)</f>
        <v>-19.822448979591829</v>
      </c>
      <c r="AQ53">
        <f>($D43-AQ$40-15)</f>
        <v>-20.822448979591829</v>
      </c>
      <c r="AR53">
        <f>($D43-AR$40-15)</f>
        <v>-21.822448979591829</v>
      </c>
      <c r="AS53">
        <f>($D43-AS$40-15)</f>
        <v>-22.822448979591829</v>
      </c>
    </row>
    <row r="54" spans="5:45" x14ac:dyDescent="0.25">
      <c r="E54">
        <f>($D44-E$40-15)</f>
        <v>20.207142857142863</v>
      </c>
      <c r="F54">
        <f>($D44-F$40-15)</f>
        <v>19.207142857142863</v>
      </c>
      <c r="G54">
        <f>($D44-G$40-15)</f>
        <v>18.207142857142863</v>
      </c>
      <c r="H54">
        <f>($D44-H$40-15)</f>
        <v>17.207142857142863</v>
      </c>
      <c r="I54">
        <f>($D44-I$40-15)</f>
        <v>16.207142857142863</v>
      </c>
      <c r="J54">
        <f>($D44-J$40-15)</f>
        <v>15.207142857142863</v>
      </c>
      <c r="K54">
        <f>($D44-K$40-15)</f>
        <v>14.207142857142863</v>
      </c>
      <c r="L54">
        <f>($D44-L$40-15)</f>
        <v>13.207142857142863</v>
      </c>
      <c r="M54">
        <f>($D44-M$40-15)</f>
        <v>12.207142857142863</v>
      </c>
      <c r="N54">
        <f>($D44-N$40-15)</f>
        <v>11.207142857142863</v>
      </c>
      <c r="O54">
        <f>($D44-O$40-15)</f>
        <v>10.707142857142863</v>
      </c>
      <c r="P54">
        <f>($D44-P$40-15)</f>
        <v>10.207142857142863</v>
      </c>
      <c r="Q54">
        <f>($D44-Q$40-15)</f>
        <v>9.7071428571428626</v>
      </c>
      <c r="R54">
        <f>($D44-R$40-15)</f>
        <v>9.2071428571428626</v>
      </c>
      <c r="S54">
        <f>($D44-S$40-15)</f>
        <v>8.2071428571428626</v>
      </c>
      <c r="T54">
        <f>($D44-T$40-15)</f>
        <v>7.2071428571428626</v>
      </c>
      <c r="U54">
        <f>($D44-U$40-15)</f>
        <v>6.2071428571428626</v>
      </c>
      <c r="V54">
        <f>($D44-V$40-15)</f>
        <v>5.2071428571428626</v>
      </c>
      <c r="W54">
        <f>($D44-W$40-15)</f>
        <v>4.2071428571428626</v>
      </c>
      <c r="X54">
        <f>($D44-X$40-15)</f>
        <v>3.2071428571428626</v>
      </c>
      <c r="Y54">
        <f>($D44-Y$40-15)</f>
        <v>2.2071428571428626</v>
      </c>
      <c r="Z54">
        <f>($D44-Z$40-15)</f>
        <v>1.2071428571428626</v>
      </c>
      <c r="AA54">
        <f>($D44-AA$40-15)</f>
        <v>0.20714285714286262</v>
      </c>
      <c r="AB54">
        <f>($D44-AB$40-15)</f>
        <v>-0.79285714285713738</v>
      </c>
      <c r="AC54">
        <f>($D44-AC$40-15)</f>
        <v>-1.7928571428571374</v>
      </c>
      <c r="AD54">
        <f>($D44-AD$40-15)</f>
        <v>-2.7928571428571374</v>
      </c>
      <c r="AE54">
        <f>($D44-AE$40-15)</f>
        <v>-3.7928571428571374</v>
      </c>
      <c r="AF54">
        <f>($D44-AF$40-15)</f>
        <v>-4.7928571428571374</v>
      </c>
      <c r="AG54">
        <f>($D44-AG$40-15)</f>
        <v>-5.7928571428571374</v>
      </c>
      <c r="AH54">
        <f>($D44-AH$40-15)</f>
        <v>-6.7928571428571374</v>
      </c>
      <c r="AI54">
        <f>($D44-AI$40-15)</f>
        <v>-7.7928571428571374</v>
      </c>
      <c r="AJ54">
        <f>($D44-AJ$40-15)</f>
        <v>-8.7928571428571374</v>
      </c>
      <c r="AK54">
        <f>($D44-AK$40-15)</f>
        <v>-9.7928571428571374</v>
      </c>
      <c r="AL54">
        <f>($D44-AL$40-15)</f>
        <v>-10.792857142857137</v>
      </c>
      <c r="AM54">
        <f>($D44-AM$40-15)</f>
        <v>-11.792857142857137</v>
      </c>
      <c r="AN54">
        <f>($D44-AN$40-15)</f>
        <v>-12.792857142857137</v>
      </c>
      <c r="AO54">
        <f>($D44-AO$40-15)</f>
        <v>-13.792857142857137</v>
      </c>
      <c r="AP54">
        <f>($D44-AP$40-15)</f>
        <v>-14.792857142857137</v>
      </c>
      <c r="AQ54">
        <f>($D44-AQ$40-15)</f>
        <v>-15.792857142857137</v>
      </c>
      <c r="AR54">
        <f>($D44-AR$40-15)</f>
        <v>-16.792857142857137</v>
      </c>
      <c r="AS54">
        <f>($D44-AS$40-15)</f>
        <v>-17.792857142857137</v>
      </c>
    </row>
    <row r="55" spans="5:45" x14ac:dyDescent="0.25">
      <c r="E55">
        <f>($D45-E$40-15)</f>
        <v>25.236734693877558</v>
      </c>
      <c r="F55">
        <f>($D45-F$40-15)</f>
        <v>24.236734693877558</v>
      </c>
      <c r="G55">
        <f>($D45-G$40-15)</f>
        <v>23.236734693877558</v>
      </c>
      <c r="H55">
        <f>($D45-H$40-15)</f>
        <v>22.236734693877558</v>
      </c>
      <c r="I55">
        <f>($D45-I$40-15)</f>
        <v>21.236734693877558</v>
      </c>
      <c r="J55">
        <f>($D45-J$40-15)</f>
        <v>20.236734693877558</v>
      </c>
      <c r="K55">
        <f>($D45-K$40-15)</f>
        <v>19.236734693877558</v>
      </c>
      <c r="L55">
        <f>($D45-L$40-15)</f>
        <v>18.236734693877558</v>
      </c>
      <c r="M55">
        <f>($D45-M$40-15)</f>
        <v>17.236734693877558</v>
      </c>
      <c r="N55">
        <f>($D45-N$40-15)</f>
        <v>16.236734693877558</v>
      </c>
      <c r="O55">
        <f>($D45-O$40-15)</f>
        <v>15.736734693877558</v>
      </c>
      <c r="P55">
        <f>($D45-P$40-15)</f>
        <v>15.236734693877558</v>
      </c>
      <c r="Q55">
        <f>($D45-Q$40-15)</f>
        <v>14.736734693877558</v>
      </c>
      <c r="R55">
        <f>($D45-R$40-15)</f>
        <v>14.236734693877558</v>
      </c>
      <c r="S55">
        <f>($D45-S$40-15)</f>
        <v>13.236734693877558</v>
      </c>
      <c r="T55">
        <f>($D45-T$40-15)</f>
        <v>12.236734693877558</v>
      </c>
      <c r="U55">
        <f>($D45-U$40-15)</f>
        <v>11.236734693877558</v>
      </c>
      <c r="V55">
        <f>($D45-V$40-15)</f>
        <v>10.236734693877558</v>
      </c>
      <c r="W55">
        <f>($D45-W$40-15)</f>
        <v>9.2367346938775583</v>
      </c>
      <c r="X55">
        <f>($D45-X$40-15)</f>
        <v>8.2367346938775583</v>
      </c>
      <c r="Y55">
        <f>($D45-Y$40-15)</f>
        <v>7.2367346938775583</v>
      </c>
      <c r="Z55">
        <f>($D45-Z$40-15)</f>
        <v>6.2367346938775583</v>
      </c>
      <c r="AA55">
        <f>($D45-AA$40-15)</f>
        <v>5.2367346938775583</v>
      </c>
      <c r="AB55">
        <f>($D45-AB$40-15)</f>
        <v>4.2367346938775583</v>
      </c>
      <c r="AC55">
        <f>($D45-AC$40-15)</f>
        <v>3.2367346938775583</v>
      </c>
      <c r="AD55">
        <f>($D45-AD$40-15)</f>
        <v>2.2367346938775583</v>
      </c>
      <c r="AE55">
        <f>($D45-AE$40-15)</f>
        <v>1.2367346938775583</v>
      </c>
      <c r="AF55">
        <f>($D45-AF$40-15)</f>
        <v>0.2367346938775583</v>
      </c>
      <c r="AG55">
        <f>($D45-AG$40-15)</f>
        <v>-0.7632653061224417</v>
      </c>
      <c r="AH55">
        <f>($D45-AH$40-15)</f>
        <v>-1.7632653061224417</v>
      </c>
      <c r="AI55">
        <f>($D45-AI$40-15)</f>
        <v>-2.7632653061224417</v>
      </c>
      <c r="AJ55">
        <f>($D45-AJ$40-15)</f>
        <v>-3.7632653061224417</v>
      </c>
      <c r="AK55">
        <f>($D45-AK$40-15)</f>
        <v>-4.7632653061224417</v>
      </c>
      <c r="AL55">
        <f>($D45-AL$40-15)</f>
        <v>-5.7632653061224417</v>
      </c>
      <c r="AM55">
        <f>($D45-AM$40-15)</f>
        <v>-6.7632653061224417</v>
      </c>
      <c r="AN55">
        <f>($D45-AN$40-15)</f>
        <v>-7.7632653061224417</v>
      </c>
      <c r="AO55">
        <f>($D45-AO$40-15)</f>
        <v>-8.7632653061224417</v>
      </c>
      <c r="AP55">
        <f>($D45-AP$40-15)</f>
        <v>-9.7632653061224417</v>
      </c>
      <c r="AQ55">
        <f>($D45-AQ$40-15)</f>
        <v>-10.763265306122442</v>
      </c>
      <c r="AR55">
        <f>($D45-AR$40-15)</f>
        <v>-11.763265306122442</v>
      </c>
      <c r="AS55">
        <f>($D45-AS$40-15)</f>
        <v>-12.763265306122442</v>
      </c>
    </row>
    <row r="72" spans="11:18" x14ac:dyDescent="0.25">
      <c r="K72" s="4"/>
      <c r="L72" s="4"/>
      <c r="M72" s="4"/>
      <c r="N72" s="4"/>
      <c r="O72" s="4"/>
    </row>
    <row r="73" spans="11:18" x14ac:dyDescent="0.25">
      <c r="K73" s="4"/>
      <c r="L73" s="4"/>
      <c r="M73" s="4"/>
      <c r="N73" s="4"/>
      <c r="O73" s="4"/>
    </row>
    <row r="74" spans="11:18" x14ac:dyDescent="0.25">
      <c r="K74" s="4"/>
      <c r="L74" s="4"/>
      <c r="M74" s="4"/>
      <c r="N74" s="4"/>
      <c r="O74" s="4"/>
    </row>
    <row r="75" spans="11:18" x14ac:dyDescent="0.25">
      <c r="K75" s="4"/>
      <c r="L75" s="4"/>
      <c r="M75" s="4"/>
      <c r="N75" s="4"/>
      <c r="O75" s="4"/>
    </row>
    <row r="76" spans="11:18" x14ac:dyDescent="0.25">
      <c r="K76" s="4"/>
      <c r="L76" s="4"/>
      <c r="M76" s="4"/>
      <c r="N76" s="4"/>
      <c r="O76" s="4"/>
    </row>
    <row r="77" spans="11:18" x14ac:dyDescent="0.25">
      <c r="K77" s="4"/>
      <c r="L77" s="4"/>
      <c r="M77" s="4"/>
      <c r="N77" s="4"/>
      <c r="O77" s="4"/>
    </row>
    <row r="78" spans="11:18" x14ac:dyDescent="0.25">
      <c r="K78" s="4"/>
      <c r="L78" s="4"/>
      <c r="M78" s="4"/>
      <c r="N78" s="4"/>
      <c r="O78" s="4"/>
    </row>
    <row r="79" spans="11:18" x14ac:dyDescent="0.25">
      <c r="K79" s="4"/>
      <c r="L79" s="4"/>
      <c r="M79" s="4"/>
      <c r="N79" s="4"/>
      <c r="O79" s="4"/>
      <c r="P79" s="4"/>
      <c r="Q79" s="4"/>
      <c r="R79" s="4"/>
    </row>
    <row r="80" spans="11:18" x14ac:dyDescent="0.25">
      <c r="K80" s="4"/>
      <c r="L80" s="4"/>
      <c r="M80" s="4"/>
      <c r="N80" s="4"/>
      <c r="O80" s="4"/>
      <c r="P80" s="4"/>
      <c r="Q80" s="4"/>
      <c r="R80" s="4"/>
    </row>
    <row r="81" spans="1:18" x14ac:dyDescent="0.25">
      <c r="K81" s="4"/>
      <c r="L81" s="4"/>
      <c r="M81" s="4"/>
      <c r="N81" s="4"/>
      <c r="O81" s="4"/>
      <c r="P81" s="4"/>
      <c r="Q81" s="4"/>
      <c r="R81" s="4"/>
    </row>
    <row r="82" spans="1:18" x14ac:dyDescent="0.25">
      <c r="K82" s="4"/>
      <c r="L82" s="4"/>
      <c r="M82" s="4"/>
      <c r="N82" s="4"/>
      <c r="O82" s="4"/>
      <c r="P82" s="4"/>
      <c r="Q82" s="4"/>
      <c r="R82" s="4"/>
    </row>
    <row r="83" spans="1:18" x14ac:dyDescent="0.25">
      <c r="K83" s="4"/>
      <c r="L83" s="4"/>
      <c r="M83" s="4"/>
      <c r="N83" s="4"/>
      <c r="O83" s="4"/>
      <c r="P83" s="4"/>
      <c r="Q83" s="4"/>
      <c r="R83" s="4"/>
    </row>
    <row r="84" spans="1:18" x14ac:dyDescent="0.25">
      <c r="K84" s="4"/>
      <c r="L84" s="4"/>
      <c r="M84" s="4"/>
      <c r="N84" s="4"/>
      <c r="O84" s="4"/>
      <c r="P84" s="4"/>
      <c r="Q84" s="4"/>
      <c r="R84" s="4"/>
    </row>
    <row r="85" spans="1:18" x14ac:dyDescent="0.25"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spans="1:18" x14ac:dyDescent="0.25">
      <c r="A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spans="1:18" x14ac:dyDescent="0.25"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topLeftCell="A4" workbookViewId="0">
      <selection activeCell="E14" sqref="E14"/>
    </sheetView>
  </sheetViews>
  <sheetFormatPr baseColWidth="10" defaultRowHeight="15" x14ac:dyDescent="0.25"/>
  <sheetData>
    <row r="1" spans="1:7" x14ac:dyDescent="0.25">
      <c r="A1" s="10" t="s">
        <v>32</v>
      </c>
    </row>
    <row r="2" spans="1:7" x14ac:dyDescent="0.25">
      <c r="A2" s="8" t="s">
        <v>6</v>
      </c>
      <c r="B2" s="8" t="s">
        <v>5</v>
      </c>
      <c r="C2" s="8" t="s">
        <v>11</v>
      </c>
      <c r="D2" s="8" t="s">
        <v>12</v>
      </c>
      <c r="E2" s="8" t="s">
        <v>14</v>
      </c>
      <c r="F2" s="8" t="s">
        <v>13</v>
      </c>
      <c r="G2" s="8" t="s">
        <v>9</v>
      </c>
    </row>
    <row r="3" spans="1:7" x14ac:dyDescent="0.25">
      <c r="A3" s="2">
        <v>0.6</v>
      </c>
      <c r="B3" s="2">
        <v>0.5</v>
      </c>
      <c r="C3" s="2">
        <v>5</v>
      </c>
      <c r="D3" s="2">
        <v>6</v>
      </c>
      <c r="E3" s="2">
        <v>0.55000000000000004</v>
      </c>
      <c r="F3">
        <f>1-(E3 - B3) / (A3-B3)</f>
        <v>0.49999999999999944</v>
      </c>
      <c r="G3">
        <f>C3+F3*(D3-C3)</f>
        <v>5.4999999999999991</v>
      </c>
    </row>
    <row r="4" spans="1:7" x14ac:dyDescent="0.25">
      <c r="A4" s="2">
        <v>0.7</v>
      </c>
      <c r="B4" s="2">
        <v>0.5</v>
      </c>
      <c r="C4" s="2">
        <v>4</v>
      </c>
      <c r="D4" s="2">
        <v>6</v>
      </c>
      <c r="E4" s="2">
        <v>0.65</v>
      </c>
      <c r="F4">
        <f>1-(E4 - B4) / (A4-B4)</f>
        <v>0.24999999999999978</v>
      </c>
      <c r="G4">
        <f>C4+F4*(D4-C4)</f>
        <v>4.5</v>
      </c>
    </row>
    <row r="5" spans="1:7" x14ac:dyDescent="0.25">
      <c r="A5" s="2">
        <v>0.7</v>
      </c>
      <c r="B5" s="2">
        <v>0.6</v>
      </c>
      <c r="C5" s="2">
        <v>4</v>
      </c>
      <c r="D5" s="2">
        <v>5</v>
      </c>
      <c r="E5" s="2">
        <v>0.65</v>
      </c>
      <c r="F5">
        <f>1-(E5 - B5) / (A5-B5)</f>
        <v>0.49999999999999944</v>
      </c>
      <c r="G5">
        <f>C5+F5*(D5-C5)</f>
        <v>4.4999999999999991</v>
      </c>
    </row>
    <row r="6" spans="1:7" x14ac:dyDescent="0.25">
      <c r="A6" s="2">
        <v>0.9</v>
      </c>
      <c r="B6" s="2">
        <v>0.8</v>
      </c>
      <c r="C6" s="2">
        <v>2</v>
      </c>
      <c r="D6" s="2">
        <v>3</v>
      </c>
      <c r="E6" s="2">
        <v>0.85</v>
      </c>
      <c r="F6">
        <f>1-(E6 - B6) / (A6-B6)</f>
        <v>0.50000000000000056</v>
      </c>
      <c r="G6">
        <f>C6+F6*(D6-C6)</f>
        <v>2.5000000000000004</v>
      </c>
    </row>
    <row r="11" spans="1:7" x14ac:dyDescent="0.25">
      <c r="A11" s="8" t="s">
        <v>15</v>
      </c>
      <c r="B11" s="8" t="s">
        <v>16</v>
      </c>
      <c r="C11" s="8" t="s">
        <v>7</v>
      </c>
      <c r="D11" s="8" t="s">
        <v>8</v>
      </c>
      <c r="E11" s="8" t="s">
        <v>17</v>
      </c>
      <c r="F11" s="8" t="s">
        <v>10</v>
      </c>
      <c r="G11" s="8" t="s">
        <v>9</v>
      </c>
    </row>
    <row r="12" spans="1:7" x14ac:dyDescent="0.25">
      <c r="A12" s="2">
        <v>15</v>
      </c>
      <c r="B12" s="2">
        <v>60</v>
      </c>
      <c r="C12" s="2">
        <v>1</v>
      </c>
      <c r="D12" s="2">
        <v>4</v>
      </c>
      <c r="E12" s="2">
        <v>60</v>
      </c>
      <c r="F12">
        <f>1-(E12 - B12) / (A12-B12)</f>
        <v>1</v>
      </c>
      <c r="G12">
        <f>C12+F12*(D12-C12)</f>
        <v>4</v>
      </c>
    </row>
    <row r="13" spans="1:7" x14ac:dyDescent="0.25">
      <c r="A13" s="2">
        <v>15</v>
      </c>
      <c r="B13" s="2">
        <v>80</v>
      </c>
      <c r="C13" s="2">
        <v>1</v>
      </c>
      <c r="D13" s="2">
        <v>4</v>
      </c>
      <c r="E13" s="2">
        <v>60</v>
      </c>
      <c r="F13">
        <f>1-(E13 - B13) / (A13-B13)</f>
        <v>0.69230769230769229</v>
      </c>
      <c r="G13">
        <f>C13+F13*(D13-C13)</f>
        <v>3.0769230769230766</v>
      </c>
    </row>
    <row r="14" spans="1:7" x14ac:dyDescent="0.25">
      <c r="A14" s="2">
        <v>35</v>
      </c>
      <c r="B14" s="2">
        <v>50</v>
      </c>
      <c r="C14" s="2">
        <v>1</v>
      </c>
      <c r="D14" s="2">
        <v>4</v>
      </c>
      <c r="E14" s="2">
        <v>40</v>
      </c>
      <c r="F14">
        <f>1-(E14 - B14) / (A14-B14)</f>
        <v>0.33333333333333337</v>
      </c>
      <c r="G14">
        <f>C14+F14*(D14-C14)</f>
        <v>2</v>
      </c>
    </row>
    <row r="18" spans="1:10" x14ac:dyDescent="0.25">
      <c r="A18" s="8" t="s">
        <v>20</v>
      </c>
      <c r="B18" s="8" t="s">
        <v>21</v>
      </c>
      <c r="C18" s="8" t="s">
        <v>22</v>
      </c>
      <c r="D18" s="8" t="s">
        <v>23</v>
      </c>
      <c r="E18" s="8" t="s">
        <v>25</v>
      </c>
      <c r="F18" s="8" t="s">
        <v>18</v>
      </c>
      <c r="G18" s="8" t="s">
        <v>24</v>
      </c>
    </row>
    <row r="19" spans="1:10" x14ac:dyDescent="0.25">
      <c r="A19" s="2">
        <v>1</v>
      </c>
      <c r="B19" s="2">
        <v>4</v>
      </c>
      <c r="C19" s="2">
        <v>0</v>
      </c>
      <c r="D19" s="2">
        <v>40</v>
      </c>
      <c r="E19" s="2">
        <v>20</v>
      </c>
      <c r="F19" s="4">
        <f>1-(E19-D19)/(C19-D19)</f>
        <v>0.5</v>
      </c>
      <c r="G19" s="4">
        <f>A19+IF(F19&gt;1,1,F19)*(B19-A19)</f>
        <v>2.5</v>
      </c>
    </row>
    <row r="20" spans="1:10" x14ac:dyDescent="0.25">
      <c r="A20" s="2">
        <v>1</v>
      </c>
      <c r="B20" s="2">
        <v>4</v>
      </c>
      <c r="C20" s="2">
        <v>10</v>
      </c>
      <c r="D20" s="2">
        <v>40</v>
      </c>
      <c r="E20" s="2">
        <v>70</v>
      </c>
      <c r="F20" s="4">
        <f>1-(E20-D20)/(C20-D20)</f>
        <v>2</v>
      </c>
      <c r="G20" s="4">
        <f>A20+IF(F20&gt;1,1,F20)*(B20-A20)</f>
        <v>4</v>
      </c>
    </row>
    <row r="21" spans="1:10" x14ac:dyDescent="0.25">
      <c r="A21" s="2">
        <v>1</v>
      </c>
      <c r="B21" s="2">
        <v>4</v>
      </c>
      <c r="C21" s="2">
        <v>15</v>
      </c>
      <c r="D21" s="2">
        <v>60</v>
      </c>
      <c r="E21" s="2">
        <v>30</v>
      </c>
      <c r="F21" s="4">
        <f>1-(E21-D21)/(C21-D21)</f>
        <v>0.33333333333333337</v>
      </c>
      <c r="G21" s="4">
        <f>A21+IF(F21&gt;1,1,F21)*(B21-A21)</f>
        <v>2</v>
      </c>
    </row>
    <row r="22" spans="1:10" x14ac:dyDescent="0.25">
      <c r="A22" s="2">
        <v>1</v>
      </c>
      <c r="B22" s="2">
        <v>4</v>
      </c>
      <c r="C22" s="2">
        <v>20</v>
      </c>
      <c r="D22" s="2">
        <v>60</v>
      </c>
      <c r="E22" s="2">
        <v>25</v>
      </c>
      <c r="F22" s="4">
        <f>1-(E22-D22)/(C22-D22)</f>
        <v>0.125</v>
      </c>
      <c r="G22" s="4">
        <f>A22+IF(F22&gt;1,1,F22)*(B22-A22)</f>
        <v>1.375</v>
      </c>
    </row>
    <row r="23" spans="1:10" x14ac:dyDescent="0.25">
      <c r="A23" s="2">
        <v>1</v>
      </c>
      <c r="B23" s="2">
        <v>4</v>
      </c>
      <c r="C23" s="2">
        <v>15</v>
      </c>
      <c r="D23" s="2">
        <v>80</v>
      </c>
      <c r="E23" s="2">
        <v>80</v>
      </c>
      <c r="F23" s="4">
        <f>1-(E23-D23)/(C23-D23)</f>
        <v>1</v>
      </c>
      <c r="G23" s="4">
        <f>A23+IF(F23&gt;1,1,F23)*(B23-A23)</f>
        <v>4</v>
      </c>
    </row>
    <row r="29" spans="1:10" x14ac:dyDescent="0.25">
      <c r="A29" s="10" t="s">
        <v>33</v>
      </c>
    </row>
    <row r="30" spans="1:10" x14ac:dyDescent="0.25">
      <c r="A30" s="8" t="s">
        <v>4</v>
      </c>
      <c r="B30" s="8" t="s">
        <v>18</v>
      </c>
      <c r="C30" s="8" t="s">
        <v>19</v>
      </c>
    </row>
    <row r="31" spans="1:10" x14ac:dyDescent="0.25">
      <c r="A31" s="2">
        <v>0.65</v>
      </c>
      <c r="B31" s="2">
        <v>0.7</v>
      </c>
      <c r="C31">
        <f>1- (1-A31)*B31</f>
        <v>0.755</v>
      </c>
    </row>
    <row r="32" spans="1:10" x14ac:dyDescent="0.25">
      <c r="A32" s="2">
        <v>0.7</v>
      </c>
      <c r="B32" s="2">
        <v>0.7</v>
      </c>
      <c r="C32">
        <f>1- (1-A32)*B32</f>
        <v>0.79</v>
      </c>
      <c r="H32" s="4"/>
      <c r="I32" s="4"/>
      <c r="J32" s="4"/>
    </row>
    <row r="33" spans="1:10" x14ac:dyDescent="0.25">
      <c r="A33" s="2">
        <v>0.65</v>
      </c>
      <c r="B33" s="2">
        <v>0.25</v>
      </c>
      <c r="C33">
        <f>1- (1-A33)*B33</f>
        <v>0.91249999999999998</v>
      </c>
      <c r="H33" s="4"/>
      <c r="I33" s="4"/>
      <c r="J33" s="4"/>
    </row>
    <row r="34" spans="1:10" x14ac:dyDescent="0.25">
      <c r="A34" s="2">
        <v>0.85</v>
      </c>
      <c r="B34" s="2">
        <v>1</v>
      </c>
      <c r="C34">
        <f>1- (1-A34)*B34</f>
        <v>0.85</v>
      </c>
      <c r="H34" s="4"/>
      <c r="I34" s="4"/>
      <c r="J34" s="4"/>
    </row>
    <row r="35" spans="1:10" x14ac:dyDescent="0.25">
      <c r="H35" s="4"/>
      <c r="I35" s="4"/>
      <c r="J35" s="4"/>
    </row>
    <row r="36" spans="1:10" x14ac:dyDescent="0.25">
      <c r="H36" s="4"/>
      <c r="I36" s="4"/>
      <c r="J36" s="4"/>
    </row>
    <row r="37" spans="1:10" x14ac:dyDescent="0.25">
      <c r="H37" s="4"/>
      <c r="I37" s="4"/>
      <c r="J37" s="4"/>
    </row>
    <row r="38" spans="1:10" x14ac:dyDescent="0.25">
      <c r="H38" s="4"/>
      <c r="I38" s="4"/>
      <c r="J38" s="4"/>
    </row>
    <row r="39" spans="1:10" x14ac:dyDescent="0.25">
      <c r="A39" s="10" t="s">
        <v>34</v>
      </c>
      <c r="H39" s="4"/>
      <c r="I39" s="4"/>
      <c r="J39" s="4"/>
    </row>
    <row r="40" spans="1:10" x14ac:dyDescent="0.25">
      <c r="A40" s="8" t="s">
        <v>30</v>
      </c>
      <c r="B40" s="2">
        <v>0.7</v>
      </c>
      <c r="H40" s="4"/>
      <c r="I40" s="4"/>
      <c r="J40" s="4"/>
    </row>
    <row r="41" spans="1:10" x14ac:dyDescent="0.25">
      <c r="H41" s="4"/>
      <c r="I41" s="4"/>
      <c r="J41" s="4"/>
    </row>
    <row r="42" spans="1:10" x14ac:dyDescent="0.25">
      <c r="A42" s="8" t="s">
        <v>27</v>
      </c>
      <c r="B42" s="8" t="s">
        <v>28</v>
      </c>
      <c r="C42" s="8" t="s">
        <v>29</v>
      </c>
      <c r="D42" s="8" t="s">
        <v>31</v>
      </c>
      <c r="E42" s="8" t="s">
        <v>9</v>
      </c>
      <c r="H42" s="4"/>
      <c r="I42" s="4"/>
      <c r="J42" s="4"/>
    </row>
    <row r="43" spans="1:10" x14ac:dyDescent="0.25">
      <c r="A43" s="2">
        <v>24</v>
      </c>
      <c r="B43" s="2">
        <v>3</v>
      </c>
      <c r="C43" s="2">
        <v>0.3</v>
      </c>
      <c r="D43">
        <f>1-(1-B43)*$B$40</f>
        <v>2.4</v>
      </c>
      <c r="E43">
        <f t="shared" ref="E43:E44" si="0">A43*IF(D43&gt;1,1,D43)-A43*C43</f>
        <v>16.8</v>
      </c>
      <c r="F43" s="4"/>
      <c r="G43" s="4"/>
      <c r="H43" s="4"/>
      <c r="I43" s="4"/>
      <c r="J43" s="4"/>
    </row>
    <row r="44" spans="1:10" x14ac:dyDescent="0.25">
      <c r="A44" s="2">
        <v>24</v>
      </c>
      <c r="B44" s="2">
        <v>2</v>
      </c>
      <c r="C44" s="2">
        <v>0</v>
      </c>
      <c r="D44">
        <f>1-(1-B44)*$B$40</f>
        <v>1.7</v>
      </c>
      <c r="E44">
        <f t="shared" si="0"/>
        <v>24</v>
      </c>
      <c r="F44" s="4"/>
      <c r="G44" s="4"/>
      <c r="H44" s="4"/>
      <c r="I44" s="4"/>
      <c r="J44" s="4"/>
    </row>
    <row r="45" spans="1:10" x14ac:dyDescent="0.25">
      <c r="A45" s="2">
        <v>24</v>
      </c>
      <c r="B45" s="2">
        <v>1</v>
      </c>
      <c r="C45" s="2">
        <v>0</v>
      </c>
      <c r="D45">
        <f>1-(1-B45)*$B$40</f>
        <v>1</v>
      </c>
      <c r="E45">
        <f>A45*IF(D45&gt;1,1,D45)-A45*C45</f>
        <v>24</v>
      </c>
      <c r="F45" s="4"/>
      <c r="G45" s="4"/>
    </row>
    <row r="46" spans="1:10" x14ac:dyDescent="0.25">
      <c r="A46" s="2">
        <v>24</v>
      </c>
      <c r="B46" s="2">
        <v>0.3</v>
      </c>
      <c r="C46" s="2">
        <v>0</v>
      </c>
      <c r="D46">
        <f>1-(1-B46)*$B$40</f>
        <v>0.51</v>
      </c>
      <c r="E46">
        <f>A46*IF(D46&gt;1,1,D46)-A46*C46</f>
        <v>12.24</v>
      </c>
      <c r="F46" s="4"/>
      <c r="G46" s="4"/>
    </row>
    <row r="47" spans="1:10" x14ac:dyDescent="0.25">
      <c r="A47" s="2">
        <v>24</v>
      </c>
      <c r="B47" s="2">
        <v>0.1</v>
      </c>
      <c r="C47" s="2">
        <v>0</v>
      </c>
      <c r="D47">
        <f>1-(1-B47)*$B$40</f>
        <v>0.37</v>
      </c>
      <c r="E47">
        <f>A47*IF(D47&gt;1,1,D47)-A47*C47</f>
        <v>8.879999999999999</v>
      </c>
      <c r="F47" s="4"/>
      <c r="G47" s="4"/>
    </row>
    <row r="48" spans="1:10" x14ac:dyDescent="0.25">
      <c r="D48" s="4"/>
      <c r="E48" s="4"/>
      <c r="F48" s="4"/>
      <c r="G48" s="4"/>
    </row>
    <row r="49" spans="1:7" x14ac:dyDescent="0.25">
      <c r="D49" s="4"/>
      <c r="E49" s="4"/>
      <c r="F49" s="4"/>
      <c r="G49" s="4"/>
    </row>
    <row r="50" spans="1:7" x14ac:dyDescent="0.25">
      <c r="D50" s="4"/>
      <c r="E50" s="4"/>
      <c r="F50" s="4"/>
      <c r="G50" s="4"/>
    </row>
    <row r="53" spans="1:7" x14ac:dyDescent="0.25">
      <c r="A53" s="8" t="s">
        <v>36</v>
      </c>
      <c r="B53" s="8" t="s">
        <v>35</v>
      </c>
      <c r="C53" s="8" t="s">
        <v>41</v>
      </c>
      <c r="D53" s="8" t="s">
        <v>42</v>
      </c>
    </row>
    <row r="54" spans="1:7" x14ac:dyDescent="0.25">
      <c r="A54" s="8" t="s">
        <v>37</v>
      </c>
      <c r="B54">
        <v>1.1000000000000001</v>
      </c>
      <c r="C54" s="2">
        <v>80</v>
      </c>
      <c r="D54">
        <f>B54*C54</f>
        <v>88</v>
      </c>
    </row>
    <row r="55" spans="1:7" x14ac:dyDescent="0.25">
      <c r="A55" s="8" t="s">
        <v>38</v>
      </c>
      <c r="B55">
        <v>1</v>
      </c>
      <c r="C55" s="2">
        <v>80</v>
      </c>
      <c r="D55">
        <f t="shared" ref="D55:D57" si="1">B55*C55</f>
        <v>80</v>
      </c>
    </row>
    <row r="56" spans="1:7" x14ac:dyDescent="0.25">
      <c r="A56" s="8" t="s">
        <v>39</v>
      </c>
      <c r="B56">
        <v>0.6</v>
      </c>
      <c r="C56" s="2">
        <v>80</v>
      </c>
      <c r="D56">
        <f t="shared" si="1"/>
        <v>48</v>
      </c>
    </row>
    <row r="57" spans="1:7" x14ac:dyDescent="0.25">
      <c r="A57" s="8" t="s">
        <v>40</v>
      </c>
      <c r="B57">
        <v>0.6</v>
      </c>
      <c r="C57" s="2">
        <v>80</v>
      </c>
      <c r="D57">
        <f t="shared" si="1"/>
        <v>48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ArmorClass Calculation</vt:lpstr>
      <vt:lpstr>Other</vt:lpstr>
      <vt:lpstr>Tabelle3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2021-11-15T20:14:22Z</dcterms:created>
  <dcterms:modified xsi:type="dcterms:W3CDTF">2021-11-18T20:03:31Z</dcterms:modified>
</cp:coreProperties>
</file>